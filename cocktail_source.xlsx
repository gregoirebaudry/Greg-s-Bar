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bainandcompany-my.sharepoint.com/personal/gregoire_baudry_bain_com/Documents/Documents/GitHub/Greg's Bar/"/>
    </mc:Choice>
  </mc:AlternateContent>
  <xr:revisionPtr revIDLastSave="15" documentId="13_ncr:1_{187AF605-8261-4BA5-8C1A-4BB3A5BE4362}" xr6:coauthVersionLast="47" xr6:coauthVersionMax="47" xr10:uidLastSave="{08F9C602-CDC2-4E90-82FA-5DDD14489615}"/>
  <bookViews>
    <workbookView xWindow="-120" yWindow="-120" windowWidth="29040" windowHeight="15720" xr2:uid="{00000000-000D-0000-FFFF-FFFF00000000}"/>
  </bookViews>
  <sheets>
    <sheet name="Cocktails" sheetId="1" r:id="rId1"/>
    <sheet name="Ingredient Usage" sheetId="2" r:id="rId2"/>
    <sheet name="Alcohol by Category" sheetId="4" r:id="rId3"/>
  </sheets>
  <definedNames>
    <definedName name="_xlnm._FilterDatabase" localSheetId="1" hidden="1">'Ingredient Usage'!$A$1:$C$142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2" i="1" l="1"/>
  <c r="F162" i="1"/>
  <c r="F213" i="1" a="1"/>
  <c r="F213" i="1" s="1"/>
  <c r="G213" i="1" s="1" a="1"/>
  <c r="G213" i="1" s="1"/>
  <c r="F207" i="1" a="1"/>
  <c r="F207" i="1" s="1"/>
  <c r="G207" i="1" s="1" a="1"/>
  <c r="G207" i="1" s="1"/>
  <c r="F206" i="1" a="1"/>
  <c r="F206" i="1" s="1"/>
  <c r="G206" i="1" s="1" a="1"/>
  <c r="G206" i="1" s="1"/>
  <c r="F205" i="1" a="1"/>
  <c r="F205" i="1" s="1"/>
  <c r="G205" i="1" s="1" a="1"/>
  <c r="G205" i="1" s="1"/>
  <c r="F204" i="1" a="1"/>
  <c r="F204" i="1" s="1"/>
  <c r="G204" i="1" s="1" a="1"/>
  <c r="G204" i="1" s="1"/>
  <c r="F203" i="1" a="1"/>
  <c r="F203" i="1" s="1"/>
  <c r="G203" i="1" s="1" a="1"/>
  <c r="G203" i="1" s="1"/>
  <c r="F202" i="1" a="1"/>
  <c r="F202" i="1" s="1"/>
  <c r="G202" i="1" s="1" a="1"/>
  <c r="G202" i="1" s="1"/>
  <c r="F201" i="1" a="1"/>
  <c r="F201" i="1" s="1"/>
  <c r="G201" i="1" s="1" a="1"/>
  <c r="G201" i="1" s="1"/>
  <c r="F200" i="1" a="1"/>
  <c r="F200" i="1" s="1"/>
  <c r="G200" i="1" s="1" a="1"/>
  <c r="G200" i="1" s="1"/>
  <c r="D9" i="4"/>
  <c r="C9" i="4"/>
  <c r="B9" i="4"/>
  <c r="D8" i="4"/>
  <c r="C8" i="4"/>
  <c r="D7" i="4"/>
  <c r="C7" i="4"/>
  <c r="D6" i="4"/>
  <c r="C6" i="4"/>
  <c r="D5"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Gregoire Baudry</author>
  </authors>
  <commentList>
    <comment ref="F162" authorId="0" shapeId="0" xr:uid="{0950EA97-0E15-40A9-9B75-CCD1192AA6DA}">
      <text>
        <r>
          <rPr>
            <b/>
            <sz val="9"/>
            <color indexed="81"/>
            <rFont val="Tahoma"/>
            <family val="2"/>
          </rPr>
          <t>Gregoire Baudry:</t>
        </r>
        <r>
          <rPr>
            <sz val="9"/>
            <color indexed="81"/>
            <rFont val="Tahoma"/>
            <family val="2"/>
          </rPr>
          <t xml:space="preserve">
Gin 52 ml @ 40% + Triple Sec 22 ml @ 30%. Lime juice is 0% ABV; the 2 bitters dashes are excluded (same convention as other rows).</t>
        </r>
      </text>
    </comment>
    <comment ref="G162" authorId="0" shapeId="0" xr:uid="{9BD060FA-582D-4246-9C0C-8D1802112DAB}">
      <text>
        <r>
          <rPr>
            <b/>
            <sz val="9"/>
            <color indexed="81"/>
            <rFont val="Tahoma"/>
            <family val="2"/>
          </rPr>
          <t>Gregoire Baudry:</t>
        </r>
        <r>
          <rPr>
            <sz val="9"/>
            <color indexed="81"/>
            <rFont val="Tahoma"/>
            <family val="2"/>
          </rPr>
          <t xml:space="preserve">
Alcohol ml / liquid volume of measured ingredients (52+22+15 ml). Dashes and garnishes excluded.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Gregoire Baudry</author>
  </authors>
  <commentList>
    <comment ref="A103" authorId="0" shapeId="0" xr:uid="{45CA97C4-2C64-4FD9-BB4A-6A3AEAF89453}">
      <text>
        <r>
          <rPr>
            <b/>
            <sz val="9"/>
            <color indexed="81"/>
            <rFont val="Tahoma"/>
            <family val="2"/>
          </rPr>
          <t>Gregoire Baudry:</t>
        </r>
        <r>
          <rPr>
            <sz val="9"/>
            <color indexed="81"/>
            <rFont val="Tahoma"/>
            <family val="2"/>
          </rPr>
          <t xml:space="preserve">
Sic — matches the typo "Lilmoncello" in Cocktails!C205 (Limoncello). ABV assumed 30% for standard bottled limoncello; verify against actual bottle.</t>
        </r>
      </text>
    </comment>
    <comment ref="E106" authorId="0" shapeId="0" xr:uid="{0A94048E-73BD-45C1-9171-0BE0A6434956}">
      <text>
        <r>
          <rPr>
            <b/>
            <sz val="9"/>
            <color indexed="81"/>
            <rFont val="Tahoma"/>
            <family val="2"/>
          </rPr>
          <t>Gregoire Baudry:</t>
        </r>
        <r>
          <rPr>
            <sz val="9"/>
            <color indexed="81"/>
            <rFont val="Tahoma"/>
            <family val="2"/>
          </rPr>
          <t xml:space="preserve">
Low confidence: specialty/regional product, exact bottle ABV not independently verified. Please confirm and update.</t>
        </r>
      </text>
    </comment>
    <comment ref="A108" authorId="0" shapeId="0" xr:uid="{9F33738B-DA6A-45EA-9C31-FA95C98662C8}">
      <text>
        <r>
          <rPr>
            <b/>
            <sz val="9"/>
            <color indexed="81"/>
            <rFont val="Tahoma"/>
            <family val="2"/>
          </rPr>
          <t>Gregoire Baudry:</t>
        </r>
        <r>
          <rPr>
            <sz val="9"/>
            <color indexed="81"/>
            <rFont val="Tahoma"/>
            <family val="2"/>
          </rPr>
          <t xml:space="preserve">
Alias for "St. Germain" without the period, as spelled in some recipes (e.g. The Elderflower Collins). Same 20% ABV.</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<sst xmlns="http://schemas.openxmlformats.org/spreadsheetml/2006/main" count="1425" uniqueCount="1116">
  <si>
    <t>Abbey</t>
  </si>
  <si>
    <t>Gin – 45 ml
Lillet Blanc – 20 ml
Orange Juice – 20 ml
Orange Bitters – 2 dash
Cherry – 1</t>
  </si>
  <si>
    <t>Adam &amp; Eve</t>
  </si>
  <si>
    <t>Bourbon – 60 ml
Galliano – 15 ml
Simple Syrup – 7 ml
Angostura Bitters – 3 dash</t>
  </si>
  <si>
    <t>Adonis</t>
  </si>
  <si>
    <t>The Adonis cocktail was most likely named after a play (the first Broadway play to run more than 500 shows) in the 19th century, which was also a time when sherry was extremely popular.</t>
  </si>
  <si>
    <t>Dry Sherry – 45 ml
Sweet Vermouth – 20 ml
Orange Bitters – 1 dash
Orange Peel – 1</t>
  </si>
  <si>
    <t>Airmail</t>
  </si>
  <si>
    <t>Rum – 60 ml
Lime Juice – 15 ml
Honey – 5.0 ml
Sparkling Wine – 150 ml</t>
  </si>
  <si>
    <t>Alabama Slammer</t>
  </si>
  <si>
    <t>Vodka – 45 ml
Orange Juice – 30 ml
Amaretto – 15 ml
Southern Comfort – 15 ml
Grenadine – 7 ml
Orange – 1 slice</t>
  </si>
  <si>
    <t>Alaska</t>
  </si>
  <si>
    <t>Gin – 60 ml
Yellow Chartreuse – 15 ml</t>
  </si>
  <si>
    <t>Alfonso</t>
  </si>
  <si>
    <t>Sugar Cube – 1
Angostura Bitters – 4 dash
Dubonnet – 15 ml
Sparkling Wine – 120 ml</t>
  </si>
  <si>
    <t>Algonquin</t>
  </si>
  <si>
    <t>Rye – 60 ml
Dry Vermouth – 30 ml
Pineapple Juice – 30 ml
Cherry – 1</t>
  </si>
  <si>
    <t>Amaretto Sour</t>
  </si>
  <si>
    <t>Amaretto – 60 ml
Lemon Juice – 30 ml
Lemon – 1 wedge
Cherry – 1</t>
  </si>
  <si>
    <t>American Variation</t>
  </si>
  <si>
    <t>Rye – 60 ml
Grand Marnier – 15 ml
Apple Brandy – 15 ml
Angostura Bitters – 1 dash
Peychaud's Bitters – 1 dash
Lemon Peel – 1 twist</t>
  </si>
  <si>
    <t>Americana</t>
  </si>
  <si>
    <t>Sugar Cube – 1
Angostura Bitters – 4 dash
Tennessee Whiskey – 30 ml
Sparkling Wine – 150 ml</t>
  </si>
  <si>
    <t>Americano</t>
  </si>
  <si>
    <t>Campari – 45 ml
Sweet Vermouth – 45 ml
Club Soda – 90 ml
Orange Peel – 1</t>
  </si>
  <si>
    <t>Angostura Fizz</t>
  </si>
  <si>
    <t>Egg white – 15 ml
Angostura Bitters – 30 ml
Lime Juice – 30 ml
Simple Syrup – 7 ml
Grenadine – 7 ml
Cream – 15 ml
Club Soda – 30 ml</t>
  </si>
  <si>
    <t>Atlas</t>
  </si>
  <si>
    <t>Dark Rum – 45 ml
Triple Sec – 30 ml
Calvados – 15 ml
Orange – 1 slice</t>
  </si>
  <si>
    <t>Barlovento</t>
  </si>
  <si>
    <t>Light Rum – 60 ml
Pineapple Juice – 45 ml
Orange Juice – 45 ml
Hot Sauce – 1 dash</t>
  </si>
  <si>
    <t>Bee’s Knees</t>
  </si>
  <si>
    <t>Gin – 50 ml
Lemon Juice – 25 ml
Honey – 10 ml</t>
  </si>
  <si>
    <t>Belle Amande</t>
  </si>
  <si>
    <t>Belle De Brillet – 50 ml
Lemon Juice – 30 ml
Orgeat Syrup – 15 ml
Sparkling Water – 100 ml</t>
  </si>
  <si>
    <t>Belle Bulle</t>
  </si>
  <si>
    <t>Belle De Brillet – 50 ml
Lemon Juice – 20 ml
Sparkling Water – 100 ml</t>
  </si>
  <si>
    <t>Belle Summer</t>
  </si>
  <si>
    <t>Belle De Brillet – 40 ml
Dry Vermouth – 20 ml
Sparkling Water – 120 ml</t>
  </si>
  <si>
    <t>Bennett</t>
  </si>
  <si>
    <t>Gin – 60 ml
Lime Juice – 30 ml
Simple Syrup – 15 ml
Angostura Bitters – 2 dash</t>
  </si>
  <si>
    <t>Bentley</t>
  </si>
  <si>
    <t>Calvados – 45 ml
Dubonnet – 45 ml</t>
  </si>
  <si>
    <t>Betsy Ross</t>
  </si>
  <si>
    <t>Brandy – 45 ml
Ruby Port – 15 ml
Orange Curacao – 7 ml
Lemon Peel – 1 twist</t>
  </si>
  <si>
    <t>Between The Sheets</t>
  </si>
  <si>
    <t>Aged Rum – 30 ml
Brandy – 30 ml
Triple Sec – 20 ml
Lime Juice – 15 ml</t>
  </si>
  <si>
    <t>Bijou</t>
  </si>
  <si>
    <t>Gin – 20 ml
Sweet Vermouth – 20 ml
Green Chartreuse – 20 ml
Orange Bitters – 1 dash
Orange Peel – 1
Cherry – 1</t>
  </si>
  <si>
    <t>Bitter Mai Tai</t>
  </si>
  <si>
    <t>Orange Curacao – 15 ml
Orgeat Syrup – 20 ml
Dark Rum – 20 ml
Lime Juice – 30 ml
Campari – 45 ml
Mint – 1 sprig</t>
  </si>
  <si>
    <t>Black Forest</t>
  </si>
  <si>
    <t>Coffee – 60 ml
Benedictine – 7 ml
Maraschino Liqueur – 7 ml</t>
  </si>
  <si>
    <t>Black Russian</t>
  </si>
  <si>
    <t>Vodka – 60 ml
Coffee Liqueur – 30 ml</t>
  </si>
  <si>
    <t>Blackthorne</t>
  </si>
  <si>
    <t>Irish Whiskey – 60 ml
Sweet Vermouth – 30 ml
Angostura Bitters – 2 dash
Lemon Peel – 1</t>
  </si>
  <si>
    <t>Bloody Mary</t>
  </si>
  <si>
    <t>Lime – 1 wedge
Salt
Vodka – 45 ml
Tomato Juice – 90 ml
Lemon Juice – 30 ml
Worcestershire Sauce – 2.5 ml
Hot Sauce – 3 drop
Celery Salt – 1.0 ml
Horseradish – 7 ml</t>
  </si>
  <si>
    <t>Blue Bird</t>
  </si>
  <si>
    <t>Gin – 40 ml
Triple Sec – 10 ml
Blue Curacao – 5 ml
Lemon Juice – 15 ml</t>
  </si>
  <si>
    <t>Bobby Burns</t>
  </si>
  <si>
    <t>Scotch Whiskey – 45 ml
Sweet Vermouth – 45 ml
Benedictine – 5.0 ml
Lemon Peel – 1</t>
  </si>
  <si>
    <t>Bocce Ball</t>
  </si>
  <si>
    <t>Amaretto – 45 ml
Orange Juice – 45 ml
Club Soda – 120 ml
Orange – 1 slice</t>
  </si>
  <si>
    <t>Bols Old Fashioned</t>
  </si>
  <si>
    <t>Bols Barrel Aged Genever – 60 ml
Simple Syrup – 10 ml
Angostura Bitters – 2 dashes
Cherry – 1</t>
  </si>
  <si>
    <t>Boulevardier</t>
  </si>
  <si>
    <t>Bourbon – 45 ml
Campari – 30 ml
Sweet Vermouth – 30 ml
Orange Peel – 1 twist
Cherry – 1</t>
  </si>
  <si>
    <t>Boulevardier Rye</t>
  </si>
  <si>
    <t>Rye – 45 ml
Campari – 30 ml
Sweet Vermouth – 30 ml
Orange Peel – 1 twist
Cherry – 1</t>
  </si>
  <si>
    <t>Brainstorm</t>
  </si>
  <si>
    <t>Bourbon – 45 ml
Dry Vermouth – 30 ml
Benedictine – 20 ml
Orange Peel – 1 twist</t>
  </si>
  <si>
    <t>Brandy Crusta</t>
  </si>
  <si>
    <t>Lemon – 1 wedge
Granulated Sugar
Cognac – 60 ml
Orange Curacao – 5.0 ml
Lemon Juice – 2.5 ml
Angostura Bitters – 1 dash
Lemon Peel – 1</t>
  </si>
  <si>
    <t>Brandy Milk Punch</t>
  </si>
  <si>
    <t>Cognac – 60 ml
Milk – 120 ml
Simple Syrup – 7 ml
Vanilla Extract – 2.5 ml
Nutmeg – 1 pinch</t>
  </si>
  <si>
    <t>Brave Bull</t>
  </si>
  <si>
    <t>Tequila – 30 ml
Coffee Liqueur – 30 ml</t>
  </si>
  <si>
    <t>Breizh Mule</t>
  </si>
  <si>
    <t>Malouins Gin – 60 ml
Lime Juice – 15 ml
Ginger Beer – 120 ml</t>
  </si>
  <si>
    <t>Bronx</t>
  </si>
  <si>
    <t>Gin – 60 ml
Orange Juice – 30 ml
Sweet Vermouth – 15 ml
Dry Vermouth – 15 ml</t>
  </si>
  <si>
    <t>Brookstone</t>
  </si>
  <si>
    <t>Aged Rum – 60 ml
Lime Juice – 20 ml
Maple Syrup – 20 ml
Angostura Bitters – 1 dash
Lime – 1 wedge</t>
  </si>
  <si>
    <t>Bushwacker</t>
  </si>
  <si>
    <t>Coffee Liqueur – 15 ml
Irish Cream – 15 ml
Light Rum – 15 ml
Amaretto – 15 ml
Cream – 60 ml</t>
  </si>
  <si>
    <t>Buster Brown</t>
  </si>
  <si>
    <t>Bourbon – 45 ml
Lemon Juice – 15 ml
Simple Syrup – 7 ml
Orange Bitters – 2 dash</t>
  </si>
  <si>
    <t>Cable Car</t>
  </si>
  <si>
    <t>Lemon – 1 wedge
Cinnamon Sugar
Egg white – 15 ml
Spiced Rum – 60 ml
Triple Sec – 30 ml
Lemon Juice – 15 ml
Simple Syrup – 7 ml</t>
  </si>
  <si>
    <t>Caipirinha</t>
  </si>
  <si>
    <t>Granulated Sugar – 20 g
Lime – 2 quarter
Cachaca – 60 ml</t>
  </si>
  <si>
    <t>Caipiroska</t>
  </si>
  <si>
    <t>Granulated Sugar – 20 g
Lime – 2 wedge
Vodka – 60 ml</t>
  </si>
  <si>
    <t>Cameron's Kick</t>
  </si>
  <si>
    <t>Scotch Whiskey – 30 ml
Irish Whiskey – 30 ml
Lemon Juice – 15 ml
Orgeat Syrup – 15 ml</t>
  </si>
  <si>
    <t>Cape Cod Cocktail</t>
  </si>
  <si>
    <t>Cranberry Juice – 120 ml
Vodka – 60 ml
Lime – 1 wedge</t>
  </si>
  <si>
    <t>Champagne Mojito</t>
  </si>
  <si>
    <t>Mint – 8 leaf
Raw Sugar – 4 g
Lime Juice – 20 ml
Light Rum – 60 ml
Simple Syrup – 15 ml
Angostura Bitters – 1 dash
Sparkling Wine – 60 ml
Lime – 1 wheel
Mint – 1 sprig</t>
  </si>
  <si>
    <t>Charlie Chaplin</t>
  </si>
  <si>
    <t>Apricot Liqueur – 30 ml
Sloe Gin – 30 ml
Lime Juice – 30 ml</t>
  </si>
  <si>
    <t>Chingon</t>
  </si>
  <si>
    <t>Tequila Reposado – 60 ml
Benedictine – 7 ml
Orange Juice – 15 ml
Lime Juice – 15 ml
Orgeat Syrup – 15 ml
Orange Peel – 1 twist</t>
  </si>
  <si>
    <t>Christmas Moscow Mule</t>
  </si>
  <si>
    <t>Vodka – 60 ml
Lime Juice – 15 ml
Spiced Red Berries Syrup – 10 ml
Cranberry Juice – 60 ml</t>
  </si>
  <si>
    <t>Chrysanthemum</t>
  </si>
  <si>
    <t>Dry Vermouth – 60 ml
Benedictine – 30 ml
Absinthe – 3 dash
Orange Peel – 1</t>
  </si>
  <si>
    <t>Clipper</t>
  </si>
  <si>
    <t>Light Rum – 45 ml
Dry Vermouth – 45 ml
Grenadine – 10 ml</t>
  </si>
  <si>
    <t>Cloister</t>
  </si>
  <si>
    <t>Gin – 45 ml
Yellow Chartreuse – 15 ml
Grapefruit Juice – 15 ml
Lemon Juice – 7 ml
Simple Syrup – 7 ml</t>
  </si>
  <si>
    <t>Coffee Boulevardier</t>
  </si>
  <si>
    <t>Bourbon – 45 ml
Coffee-infused Campari – 30 ml</t>
  </si>
  <si>
    <t>Coffee Cocktail</t>
  </si>
  <si>
    <t>Egg – 45 ml
Brandy – 45 ml
Ruby Port – 45 ml
Simple Syrup – 15 ml
Nutmeg – 1 pinch</t>
  </si>
  <si>
    <t>Coffee Negroni</t>
  </si>
  <si>
    <t>Gin – 30 ml
Coffee-infused Campari – 30 ml
Sweet Vermouth – 30 ml
Orange Peel – 1</t>
  </si>
  <si>
    <t>Cognac Sazerac</t>
  </si>
  <si>
    <t>Cognac – 60 ml
Simple Syrup – 15 ml
Peychaud's Bitters – 3 dash</t>
  </si>
  <si>
    <t>Colorado Bulldog</t>
  </si>
  <si>
    <t>Vodka – 30 ml
Coffee Liqueur – 30 ml
Cream – 30 ml</t>
  </si>
  <si>
    <t>Corpse Reviver #2</t>
  </si>
  <si>
    <t>Gin – 20 ml
Cointreau – 20 ml
Lillet Blanc – 20 ml
Lemon Juice – 20 ml
Absinthe – 1 dash</t>
  </si>
  <si>
    <t>Cosmopolitan</t>
  </si>
  <si>
    <t>Vodka – 60 ml
Triple Sec – 20 ml
Lime Juice – 15 ml
Cranberry Juice – 15 ml
Orange Peel – 1</t>
  </si>
  <si>
    <t>Cranberry Margarita</t>
  </si>
  <si>
    <t>Lime – 1 wedge
Kosher Salt
Tequila – 45 ml
Triple Sec – 30 ml
Cranberry Juice – 30 ml
Lime Juice – 15 ml
Lime – 1 wheel</t>
  </si>
  <si>
    <t>Crux</t>
  </si>
  <si>
    <t>Cognac – 20 ml
Dubonnet – 20 ml
Triple Sec – 20 ml
Lemon Juice – 20 ml
Orange Peel – 1 twist</t>
  </si>
  <si>
    <t>Daiquiri</t>
  </si>
  <si>
    <t>Light Rum – 60 ml
Lime Juice – 20 ml
Simple Syrup – 20 ml
Lime – 1 wedge</t>
  </si>
  <si>
    <t>Daisy</t>
  </si>
  <si>
    <t>Brandy – 60 ml
Lemon Juice – 15 ml
Grenadine – 5.0 ml
Simple Syrup – 5.0 ml
Lemon – 1 wedge</t>
  </si>
  <si>
    <t>Darb</t>
  </si>
  <si>
    <t>Gin – 20 ml
Apricot Liqueur – 20 ml
Dry Vermouth – 20 ml
Lemon Juice – 7 ml</t>
  </si>
  <si>
    <t>Dark 'N Stormy</t>
  </si>
  <si>
    <t>Dark Rum – 45 ml
Lime Juice – 15 ml
Ginger Beer – 120 ml
Lime – 1 wedge</t>
  </si>
  <si>
    <t>Death In The Afternoon</t>
  </si>
  <si>
    <t>Absinthe – 20 ml
Sparkling Wine – 150 ml</t>
  </si>
  <si>
    <t>Derby</t>
  </si>
  <si>
    <t>A relatively uncommon pairing of bourbon and lime juice, the Derby was named after the Kentucky Derby horse race and appeared in Trader Vic's 1947 Bartenders Guide.</t>
  </si>
  <si>
    <t>Bourbon – 30 ml
Lime Juice – 20 ml
Orange Curacao – 15 ml
Sweet Vermouth – 15 ml
Mint – 1 leaf</t>
  </si>
  <si>
    <t>Diamondback</t>
  </si>
  <si>
    <t>Rye – 45 ml
Applejack – 20 ml
Yellow Chartreuse – 20 ml
Cherry – 1</t>
  </si>
  <si>
    <t>Diplomat</t>
  </si>
  <si>
    <t>Dry Vermouth – 45 ml
Sweet Vermouth – 45 ml
Maraschino Liqueur – 1 dash
Angostura Bitters – 1 dash
Cherry – 1</t>
  </si>
  <si>
    <t>Division Bell</t>
  </si>
  <si>
    <t>Mezcal – 30 ml
Aperol – 20 ml
Lime Juice – 20 ml
Maraschino Liqueur – 15 ml
Grapefruit Peel – 1</t>
  </si>
  <si>
    <t>Dry Rob Roy</t>
  </si>
  <si>
    <t>Scotch Whiskey – 75 ml
Dry Vermouth – 30 ml
Angostura Bitters – 2 dash
Lemon Peel – 1</t>
  </si>
  <si>
    <t>Dubonnet Cocktail</t>
  </si>
  <si>
    <t>Dubonnet – 45 ml
Gin – 45 ml
Angostura Bitters – 2 dash
Lemon Peel – 1 twist</t>
  </si>
  <si>
    <t>Eastern Standard - SoHo House Tonic</t>
  </si>
  <si>
    <t>Cucumber - 3 slices
Simple Syrup - 10 ml
Gin - 50 ml
Lime Juice - 10 ml
Mint - 2 leaf
Cucumber - 1 slice</t>
  </si>
  <si>
    <t>El Camino</t>
  </si>
  <si>
    <t>Mezcal – 30 ml
Rye – 30 ml
Benedictine – 15 ml
Peychaud's Bitters – 4 dash
Orange Peel – 1 twist</t>
  </si>
  <si>
    <t>El Diablo</t>
  </si>
  <si>
    <t>Tequila Blanco – 60 ml
Lime Juice – 30 ml
Creme de Cassis – 30 ml
Ginger Beer – 120 ml
Lime – 1 wedge</t>
  </si>
  <si>
    <t>El Floridita No. 1</t>
  </si>
  <si>
    <t>Light Rum – 60 ml
Lime Juice – 30 ml
Simple Syrup – 15 ml
Maraschino Liqueur – 15 ml
Lime – 1 wedge</t>
  </si>
  <si>
    <t>El Presidente</t>
  </si>
  <si>
    <t>Light Rum – 45 ml
Bianco Vermouth – 30 ml
Orange Curacao – 5.0 ml
Grenadine – 2.5 ml
Cherry – 1</t>
  </si>
  <si>
    <t>Elderflower Margarita</t>
  </si>
  <si>
    <t>Lime – 1 wedge
Kosher Salt
Tequila – 45 ml
St. Germain – 30 ml
Lime Juice – 20 ml
Lime – 1 wheel</t>
  </si>
  <si>
    <t>Electric Kamikaze</t>
  </si>
  <si>
    <t>Triple Sec – 15 ml
Vodka – 15 ml
Blue Curacao – 15 ml
Lime Juice – 15 ml</t>
  </si>
  <si>
    <t>Final Ward</t>
  </si>
  <si>
    <t>Rye – 20 ml
Lemon Juice – 20 ml
Green Chartreuse – 20 ml
Maraschino Liqueur – 20 ml</t>
  </si>
  <si>
    <t>Fourth Degree</t>
  </si>
  <si>
    <t>Gin – 20 ml
Dry Vermouth – 20 ml
Sweet Vermouth – 20 ml
Absinthe – 5.0 ml
Lemon Peel – 1</t>
  </si>
  <si>
    <t>Freddie Fudpucker</t>
  </si>
  <si>
    <t>Tequila – 30 ml
Orange Juice – 120 ml
Galliano – 15 ml
Lemon Peel – 1</t>
  </si>
  <si>
    <t>French 75</t>
  </si>
  <si>
    <t>Gin – 30 ml
Lemon Juice – 30 ml
Simple Syrup – 15 ml
Sparkling Wine – 60 ml
Lemon Peel – 1</t>
  </si>
  <si>
    <t>Garden Party</t>
  </si>
  <si>
    <t>Mint – 5 leaf
Lime Juice – 15 ml
Simple Syrup – 7 ml
Green Chartreuse – 45 ml
Club Soda – 75 ml
Mint – 1 sprig</t>
  </si>
  <si>
    <t>Gimlet</t>
  </si>
  <si>
    <t>Gin – 60 ml
Lime Juice – 30 ml
Simple Syrup – 20 ml</t>
  </si>
  <si>
    <t>Gin Genie</t>
  </si>
  <si>
    <t>Mint – 8 leaf
Gin – 30 ml
Lemon Juice – 30 ml
Simple Syrup – 15 ml
Sloe Gin – 30 ml</t>
  </si>
  <si>
    <t>Ginger Champagne</t>
  </si>
  <si>
    <t>Vodka – 10 ml
Ginger Syrup – 20 ml
Sparkling Wine – 100 ml
Candied Ginger – 3</t>
  </si>
  <si>
    <t>Ginger Spritz</t>
  </si>
  <si>
    <t>Lillet Blanc – 40 ml
Sparkling Wine – 60 ml
Ginger Beer – 20 ml</t>
  </si>
  <si>
    <t>Godfather</t>
  </si>
  <si>
    <t>Scotch Whiskey – 60 ml
Amaretto – 30 ml</t>
  </si>
  <si>
    <t>Godmother</t>
  </si>
  <si>
    <t>Vodka – 60 ml
Amaretto – 30 ml</t>
  </si>
  <si>
    <t>Happy Honey</t>
  </si>
  <si>
    <t>Brandy – 50 ml
Grapefruit Juice – 25 ml
Honey – 7 ml
Hot Sauce – 2 dash</t>
  </si>
  <si>
    <t>Harvard Cooler</t>
  </si>
  <si>
    <t>Calvados – 60 ml
Lime Juice – 20 ml
Simple Syrup – 15 ml
Club Soda – 120 ml
Lime – 1 wedge</t>
  </si>
  <si>
    <t>Harvey Wallbanger</t>
  </si>
  <si>
    <t>Vodka – 30 ml
Orange Juice – 120 ml
Galliano – 15 ml
Lemon Peel – 1</t>
  </si>
  <si>
    <t>Hemingway Daiquiri</t>
  </si>
  <si>
    <t>Light Rum – 60 ml
Lime Juice – 20 ml
Maraschino Liqueur – 15 ml
Grapefruit Juice – 15 ml
Lime – 1 wedge</t>
  </si>
  <si>
    <t>Honeymoon</t>
  </si>
  <si>
    <t>Calvados – 30 ml
Lemon Juice – 15 ml
Benedictine – 15 ml
Orange Curacao – 15 ml
Lemon Peel – 1 twist</t>
  </si>
  <si>
    <t>Hot Caipirinha</t>
  </si>
  <si>
    <t>Lime – 2 quarter
Simple Syrup – 30 ml
Cachaca – 60 ml
Water – 150 ml</t>
  </si>
  <si>
    <t>St. Germain – 40 ml
Sparkling Wine – 60 ml
Club Soda – 20 ml</t>
  </si>
  <si>
    <t>Hummingbird</t>
  </si>
  <si>
    <t>Gin – 20 ml
Campari – 20 ml
St. Germain – 15 ml
Sweet Vermouth – 7 ml
Orange – 1 wheel</t>
  </si>
  <si>
    <t>In The Neighborhood</t>
  </si>
  <si>
    <t>Aged Rum – 60 ml
Lime Juice – 30 ml
Maple Syrup – 20 ml
Angostura Bitters – 1 dash
Lime Peel – 1 twist</t>
  </si>
  <si>
    <t>Incognito</t>
  </si>
  <si>
    <t>Cognac – 45 ml
Dry Vermouth – 45 ml
Apricot Liqueur – 30 ml
Angostura Bitters – 3 dash
Lemon Peel – 1 twist</t>
  </si>
  <si>
    <t>Jack Rose</t>
  </si>
  <si>
    <t>Applejack – 60 ml
Lemon Juice – 30 ml
Grenadine – 20 ml
Lemon Peel – 1 twist</t>
  </si>
  <si>
    <t>Jacob's Rainbow</t>
  </si>
  <si>
    <t>Grenadine – 30 ml
Blue Curacao – 30 ml
Orange Juice – 60 ml
Lime Juice – 15 ml
Pineapple Juice – 60 ml
Dark Rum – 30 ml</t>
  </si>
  <si>
    <t>James Joyce</t>
  </si>
  <si>
    <t>Irish Whiskey – 45 ml
Sweet Vermouth – 20 ml
Cointreau – 20 ml
Lime Juice – 15 ml</t>
  </si>
  <si>
    <t>Jasmine</t>
  </si>
  <si>
    <t>Gin – 45 ml
Triple Sec – 30 ml
Campari – 20 ml
Lemon Juice – 15 ml</t>
  </si>
  <si>
    <t>JM Amaretto Sour</t>
  </si>
  <si>
    <t>Egg white – 15 ml
Amaretto – 45 ml
Lemon Juice – 30 ml
Bourbon – 20 ml
Simple Syrup – 7 ml
Lemon Peel – 1 twist
Cherry – 1</t>
  </si>
  <si>
    <t>Jubilant</t>
  </si>
  <si>
    <t>Egg white – 15 ml
Gin – 45 ml
Benedictine – 20 ml
Lemon Juice – 15 ml
Orange Juice – 15 ml
Orange – 1 slice</t>
  </si>
  <si>
    <t>Kalê Sour</t>
  </si>
  <si>
    <t>Kalê Liqueur – 60 ml
Lemon Juice – 30 ml
Egg white – 30 g</t>
  </si>
  <si>
    <t>Kamikaze</t>
  </si>
  <si>
    <t>Vodka – 60 ml
Triple Sec – 30 ml
Lime Juice – 15 ml
Lime – 1 wedge</t>
  </si>
  <si>
    <t>Kilmoon Sour</t>
  </si>
  <si>
    <t>Irish Whiskey – 60 ml
Lemon Juice – 20 ml
Grenadine – 15 ml
Angostura Bitters – 2 dash
Blood Orange – 1 wheel</t>
  </si>
  <si>
    <t>Kir Royale</t>
  </si>
  <si>
    <t>Creme de Cassis – 15 ml
Sparkling Wine – 150 ml
Lemon – 1 twist</t>
  </si>
  <si>
    <t>La Louisiane</t>
  </si>
  <si>
    <t>Rye – 20 ml
Sweet Vermouth – 20 ml
Benedictine – 20 ml
Absinthe – 3 dash
Peychaud's Bitters – 3 dash
Cherry – 1</t>
  </si>
  <si>
    <t>Lagerita</t>
  </si>
  <si>
    <t>Lime
Salt
Ice
Tequila – 60 ml
Cointreau – 20 ml
Lime Juice – 30 ml
Lime – 1 wheel</t>
  </si>
  <si>
    <t>Last Word</t>
  </si>
  <si>
    <t>Gin – 20 ml
Green Chartreuse – 20 ml
Lime Juice – 20 ml
Maraschino Liqueur – 20 ml</t>
  </si>
  <si>
    <t>Leatherneck</t>
  </si>
  <si>
    <t>Canadian Whiskey – 60 ml
Blue Curacao – 30 ml
Lime Juice – 15 ml
Lime – 1 wheel</t>
  </si>
  <si>
    <t>Lonely Bull</t>
  </si>
  <si>
    <t>Tequila – 30 ml
Coffee Liqueur – 30 ml
Cream – 30 ml</t>
  </si>
  <si>
    <t>Long Island Iced Tea</t>
  </si>
  <si>
    <t>Vodka – 20 ml
Light Rum – 20 ml
Gin – 20 ml
Tequila Blanco – 20 ml
Triple Sec – 20 ml
Simple Syrup – 15 ml
Cola – 30 ml
Lemon – 1 wedge</t>
  </si>
  <si>
    <t>Madras</t>
  </si>
  <si>
    <t>Cranberry Juice – 45 ml
Vodka – 60 ml
Orange Juice – 60 ml
Orange – 1 wheel</t>
  </si>
  <si>
    <t>Mai Tai</t>
  </si>
  <si>
    <t>Orgeat Syrup – 20 ml
Triple Sec – 15 ml
Lime Juice – 30 ml
Light Rum – 30 ml
Dark Rum – 30 ml
Cherry – 1</t>
  </si>
  <si>
    <t>Mamie Taylor</t>
  </si>
  <si>
    <t>Scotch Whiskey – 45 ml
Lime Juice – 15 ml
Ginger Beer – 120 ml</t>
  </si>
  <si>
    <t>Manhattan</t>
  </si>
  <si>
    <t>Bourbon – 60 ml
Sweet Vermouth – 30 ml
Angostura Bitters – 2 dash
Cherry – 1</t>
  </si>
  <si>
    <t>Manhattan Rye</t>
  </si>
  <si>
    <t>Rye – 60 ml
Sweet Vermouth – 30 ml
Angostura Bitters – 2 dash
Cherry – 1</t>
  </si>
  <si>
    <t>Maple Bourbon Old Fashioned</t>
  </si>
  <si>
    <t>Angostura Bitters – 3 dash
Maple Syrup – 15 ml
Bourbon – 60 ml
Orange Peel – 1 twist</t>
  </si>
  <si>
    <t>Maple Leaf</t>
  </si>
  <si>
    <t>Bourbon – 45 ml
Lemon Juice – 15 ml
Maple Syrup – 15 ml</t>
  </si>
  <si>
    <t>Margarita</t>
  </si>
  <si>
    <t>Lime – 1 wedge
Kosher Salt
Tequila Blanco – 45 ml
Triple Sec – 20 ml
Lime Juice – 15 ml</t>
  </si>
  <si>
    <t>Martini</t>
  </si>
  <si>
    <t>Gin – 75 ml
Dry Vermouth – 20 ml
Green Olive – 1</t>
  </si>
  <si>
    <t>Mezcal Negroni</t>
  </si>
  <si>
    <t>Mezcal – 30 ml
Campari – 30 ml
Sweet Vermouth – 30 ml
Orange Peel – 1</t>
  </si>
  <si>
    <t>Michelada</t>
  </si>
  <si>
    <t>Milano Torino #2</t>
  </si>
  <si>
    <t>Campari – 60 ml
Sweet Vermouth – 60 ml
Orange – 1 slice</t>
  </si>
  <si>
    <t>Mimosa</t>
  </si>
  <si>
    <t>Cointreau – 15 ml
Orange Juice – 60 ml
Sparkling Wine – 120 ml
Orange – 1 wedge</t>
  </si>
  <si>
    <t>Mint Julep</t>
  </si>
  <si>
    <t>Mint – 10 leaf
Simple Syrup – 15 ml
Bourbon – 30 ml
Mint – 1 sprig</t>
  </si>
  <si>
    <t>Mojito</t>
  </si>
  <si>
    <t>Simple Syrup – 20 ml
Mint – 1 sprig
Light Rum – 60 ml
Lime Juice – 30 ml
Club Soda – 90 ml
Lime – 1 wedge</t>
  </si>
  <si>
    <t>Moscow Mule</t>
  </si>
  <si>
    <t>Vodka – 60 ml
Lime Juice – 15 ml
Ginger Beer – 120 ml</t>
  </si>
  <si>
    <t>Mudslide</t>
  </si>
  <si>
    <t>Vodka – 60 ml
Coffee Liqueur – 30 ml
Irish Cream – 30 ml
Cream – 30 ml</t>
  </si>
  <si>
    <t>Naked And Famous</t>
  </si>
  <si>
    <t>Mezcal – 20 ml
Yellow Chartreuse – 20 ml
Aperol – 20 ml
Lime Juice – 20 ml</t>
  </si>
  <si>
    <t>Negroni</t>
  </si>
  <si>
    <t>Gin – 30 ml
Campari – 30 ml
Sweet Vermouth – 30 ml
Orange Peel – 1</t>
  </si>
  <si>
    <t>Negroni Sbagliato</t>
  </si>
  <si>
    <t>Campari – 30 ml
Sweet Vermouth – 30 ml
Sparkling Wine – 30 ml
Orange Peel – 1 twist</t>
  </si>
  <si>
    <t>Negroski</t>
  </si>
  <si>
    <t>Vodka – 30 ml
Campari – 30 ml
Sweet Vermouth – 30 ml
Orange Peel – 1</t>
  </si>
  <si>
    <t>Nevada</t>
  </si>
  <si>
    <t>Light Rum – 45 ml
Grapefruit Juice – 30 ml
Lime Juice – 15 ml
Simple Syrup – 15 ml
Angostura Bitters – 1 dash</t>
  </si>
  <si>
    <t>Non-Violette Aviation</t>
  </si>
  <si>
    <t>Gin – 50 ml
Lemon Juice – 20 ml
Maraschino Liqueur – 20 ml
Cherry – 1</t>
  </si>
  <si>
    <t>Nuts &amp; Berries</t>
  </si>
  <si>
    <t>Frangelico – 30 ml
Raspberry Liqueur – 30 ml
Cream – 30 ml</t>
  </si>
  <si>
    <t>Nutty Martini</t>
  </si>
  <si>
    <t>Vodka – 60 ml
Frangelico – 30 ml</t>
  </si>
  <si>
    <t>Oaxacan Mule</t>
  </si>
  <si>
    <t>Mezcal – 45 ml
Lime Juice – 15 ml
Ginger Beer – 60 ml
Lime – 1 wedge</t>
  </si>
  <si>
    <t>Old Fashioned</t>
  </si>
  <si>
    <t>Bourbon – 60 ml
Simple Syrup – 15 ml
Angostura Bitters – 2 dash
Cherry – 1</t>
  </si>
  <si>
    <t>Oriental</t>
  </si>
  <si>
    <t>Rye – 45 ml
Sweet Vermouth – 20 ml
Triple Sec – 20 ml
Lime Juice – 15 ml</t>
  </si>
  <si>
    <t>Paper Plane</t>
  </si>
  <si>
    <t>Bourbon – 20 ml
Lemon Juice – 20 ml
Aperol – 20 ml
Amaro – 20 ml</t>
  </si>
  <si>
    <t>Penicillin</t>
  </si>
  <si>
    <t>Scotch Whiskey – 50 ml
Lemon Juice – 20 ml
Ginger Syrup – 10 ml
Honey – 5 ml</t>
  </si>
  <si>
    <t>Penja #22</t>
  </si>
  <si>
    <t>Paragon White Penja Pepper – 15 ml
Beer – 100 ml</t>
  </si>
  <si>
    <t>Perfect Rob Roy</t>
  </si>
  <si>
    <t>Scotch Whiskey – 75 ml
Dry Vermouth – 15 ml
Sweet Vermouth – 15 ml
Angostura Bitters – 2 dash
Lemon Peel – 1</t>
  </si>
  <si>
    <t>Pimm's Cup</t>
  </si>
  <si>
    <t>Pimm's No. 1 – 60 ml
Lemon Juice – 15 ml
Ginger Ale – 120 ml
Cucumber – 1 slice</t>
  </si>
  <si>
    <t>Pisco Sour</t>
  </si>
  <si>
    <t>Egg white – 30 ml
Pisco – 60 ml
Lime Juice – 20 ml
Simple Syrup – 15 ml
Angostura Bitters – 4 dash</t>
  </si>
  <si>
    <t>Pompadour</t>
  </si>
  <si>
    <t>Pineau des Charentes – 45 ml
Light Rum – 45 ml
Lemon Juice – 15 ml</t>
  </si>
  <si>
    <t>Preakness</t>
  </si>
  <si>
    <t>Rye – 45 ml
Sweet Vermouth – 20 ml
Benedictine – 7 ml
Angostura Bitters – 2 dash
Cherry – 1</t>
  </si>
  <si>
    <t>Queen Bee</t>
  </si>
  <si>
    <t>Vodka – 20 ml
Lemon Juice – 20 ml
St. Germain – 20 ml
Honey Syrup – 7 ml
Sparkling Wine – 30 ml
Orange Peel – 1</t>
  </si>
  <si>
    <t>Queen Elizabeth</t>
  </si>
  <si>
    <t>Dry Vermouth – 45 ml
Benedictine – 20 ml
Lime Juice – 20 ml</t>
  </si>
  <si>
    <t>Rainbow Dee-Lite</t>
  </si>
  <si>
    <t>Blue Curacao – 30 ml
Vodka – 30 ml
Grenadine – 30 ml
Orange Juice – 60 ml
Pineapple Juice – 30 ml</t>
  </si>
  <si>
    <t>Ramos Gin Fizz</t>
  </si>
  <si>
    <t>Egg white – 15 ml
Gin – 60 ml
Lemon Juice – 15 ml
Lime Juice – 15 ml
Simple Syrup – 30 ml
Orange-Flower Water – 3 drop</t>
  </si>
  <si>
    <t>Raspberry Silver Fizz</t>
  </si>
  <si>
    <t>Egg white – 15 ml
Gin – 45 ml
Raspberry Liqueur – 15 ml
Simple Syrup – 8 ml
Lime Juice – 15 ml
Club Soda – 60 ml</t>
  </si>
  <si>
    <t>Red Eye</t>
  </si>
  <si>
    <t>Beer – 180 ml
Tomato Juice – 120 ml
Hot Sauce – 1 dash
Black Pepper – 1 pinch
Salt – 1 pinch
Egg – 1</t>
  </si>
  <si>
    <t>Rhett Butler</t>
  </si>
  <si>
    <t>Southern Comfort – 30 ml
Orange Curacao – 30 ml
Lime Juice – 30 ml
Cranberry Juice – 60 ml</t>
  </si>
  <si>
    <t>Rhum Swizzle</t>
  </si>
  <si>
    <t>Mint – 8 leaf
Rhum Agricole – 60 ml
Grapefruit Juice – 60 ml
Brown Sugar Syrup – 15 ml
Grenadine – 3.5 ml</t>
  </si>
  <si>
    <t>Ricard Jaune Lemon</t>
  </si>
  <si>
    <t>Pastis – 20 ml
Orgeat Syrup – 10 ml
Lemon Juice – 20 ml
Water – 160 ml</t>
  </si>
  <si>
    <t>Richmond Gimlet</t>
  </si>
  <si>
    <t>Gin – 60 ml
Lime Juice – 30 ml
Simple Syrup – 15 ml
Mint – 1 sprig
Mint – 1 sprig</t>
  </si>
  <si>
    <t>Rob Roy</t>
  </si>
  <si>
    <t>Scotch Whiskey – 60 ml
Sweet Vermouth – 30 ml
Peychaud's Bitters – 2 dash
Cherry – 1
Lemon Peel – 1</t>
  </si>
  <si>
    <t>Rosita</t>
  </si>
  <si>
    <t>Tequila – 45 ml
Campari – 30 ml
Sweet Vermouth – 15 ml
Dry Vermouth – 15 ml
Angostura Bitters – 1 dash
Orange Peel – 1</t>
  </si>
  <si>
    <t>Rusty Nail</t>
  </si>
  <si>
    <t>Scotch Whiskey – 60 ml
Drambuie – 20 ml
Lemon Peel – 1</t>
  </si>
  <si>
    <t>Sazerac</t>
  </si>
  <si>
    <t>Rye – 60 ml
Simple Syrup – 15 ml
Peychaud's Bitters – 3 dash</t>
  </si>
  <si>
    <t>Scofflaw</t>
  </si>
  <si>
    <t>Rye – 60 ml
Dry Vermouth – 20 ml
Lemon Juice – 15 ml
Grenadine – 7 ml
Orange Bitters – 1 dash</t>
  </si>
  <si>
    <t>Screaming Orgasm</t>
  </si>
  <si>
    <t>Coffee Liqueur – 15 ml
Irish Cream – 15 ml
Amaretto – 15 ml
Vodka – 30 ml
Half &amp; Half – 90 ml
Orange – 1 slice</t>
  </si>
  <si>
    <t>Screwdriver</t>
  </si>
  <si>
    <t>Vodka – 45 ml
Orange Juice – 120 ml</t>
  </si>
  <si>
    <t>Vodka – 60 ml
Cranberry Juice – 45 ml
Grapefruit Juice – 45 ml
Lime – 1 wedge</t>
  </si>
  <si>
    <t>Seelbach</t>
  </si>
  <si>
    <t>Bourbon – 30 ml
Cointreau – 15 ml
Angostura Bitters – 7 dash
Peychaud's Bitters – 7 dash
Sparkling Wine – 120 ml
Orange Peel – 1</t>
  </si>
  <si>
    <t>Shandygaff</t>
  </si>
  <si>
    <t>Ale – 150 ml
Ginger Beer – 150 ml
Lemon Juice – 15 ml
Orange Curacao – 15 ml</t>
  </si>
  <si>
    <t>Sidecar</t>
  </si>
  <si>
    <t>Lime – 1 wedge
Granulated Sugar
Brandy – 60 ml
Triple Sec – 30 ml
Lemon Juice – 20 ml</t>
  </si>
  <si>
    <t>Siesta</t>
  </si>
  <si>
    <t>Tequila Blanco – 45 ml
Campari – 15 ml
Simple Syrup – 15 ml
Lime Juice – 15 ml
Grapefruit Juice – 15 ml</t>
  </si>
  <si>
    <t>Silver Fizz</t>
  </si>
  <si>
    <t>Egg white – 15 ml
Old Tom Gin – 60 ml
Simple Syrup – 15 ml
Lemon Juice – 15 ml
Club Soda – 60 ml</t>
  </si>
  <si>
    <t>Silver Monk</t>
  </si>
  <si>
    <t>Mint – 8 leaf
Cucumber – 2 slice
Salt – 1 pinch
Simple Syrup – 15 ml
Tequila Blanco – 60 ml
Yellow Chartreuse – 20 ml
Lime Juice – 30 ml
Mint – 2 leaf
Cucumber – 1 slice</t>
  </si>
  <si>
    <t>Siphon Ramos Gin Fizz</t>
  </si>
  <si>
    <t>Ramos Gin Fizz Mix – 100 ml
Club Soda – 90 ml</t>
  </si>
  <si>
    <t>Sloe Gin Fizz</t>
  </si>
  <si>
    <t>Sloe Gin – 45 ml
Lemon Juice – 20 ml
Simple Syrup – 7 ml
Club Soda – 90 ml
Lemon Peel – 1</t>
  </si>
  <si>
    <t>Some Like It Hot</t>
  </si>
  <si>
    <t>Rye – 45 ml
Aperol – 15 ml
Yellow Chartreuse – 15 ml
Orange Juice – 9 ml
Angostura Bitters – 2 dash
Hot Sauce – 1 dash
Orange – 1 twist</t>
  </si>
  <si>
    <t>Spazerack</t>
  </si>
  <si>
    <t>Rye – 75 ml
Simple Syrup – 15 ml
Lemon Juice – 7 ml
Absinthe – 2.5 ml
Peychaud's Bitters – 3 dash
Lemon Peel – 1</t>
  </si>
  <si>
    <t>Spritz</t>
  </si>
  <si>
    <t>Aperol – 40 ml
Sparkling Wine – 60 ml
Club Soda – 20 ml</t>
  </si>
  <si>
    <t>Sweet Basil #2</t>
  </si>
  <si>
    <t>Lillet Blanc – 90 ml
Gin – 15 ml
Basil Syrup – 30 ml
Basil – 1 leaf</t>
  </si>
  <si>
    <t>Tailspin</t>
  </si>
  <si>
    <t>Gin – 20 ml
Sweet Vermouth – 20 ml
Green Chartreuse – 20 ml
Campari – 2.5 ml
Lemon – 1 twist
Cherry – 1</t>
  </si>
  <si>
    <t>Tampico</t>
  </si>
  <si>
    <t>Triple Sec – 20 ml
Campari – 30 ml
Lemon Juice – 20 ml
Tonic Water – 50 ml</t>
  </si>
  <si>
    <t>Tennessee</t>
  </si>
  <si>
    <t>Tennessee Whiskey – 45 ml
Lemon Juice – 20 ml
Maraschino Liqueur – 15 ml</t>
  </si>
  <si>
    <t>The End of the Road</t>
  </si>
  <si>
    <t>Scotch Whiskey – 30 ml
Campari – 30 ml
Green Chartreuse – 30 ml</t>
  </si>
  <si>
    <t>The Espresso Martini</t>
  </si>
  <si>
    <t>Vodka – 50 ml
Kahlua – 15 ml
Simple Syrup – 10 ml
Espresso – 50 ml
Coffee Bean – 3</t>
  </si>
  <si>
    <t>Tipperary</t>
  </si>
  <si>
    <t>Irish Whiskey – 60 ml
Sweet Vermouth – 20 ml
Campari – 20 ml
Green Chartreuse – 7 ml
Orange Peel – 1</t>
  </si>
  <si>
    <t>Tom Collins</t>
  </si>
  <si>
    <t>Gin – 45 ml
Lemon Juice – 20 ml
Simple Syrup – 15 ml
Club Soda – 120 ml
Lemon – 1 wedge</t>
  </si>
  <si>
    <t>Too Close For Comfort</t>
  </si>
  <si>
    <t>Vodka – 45 ml
Southern Comfort – 30 ml
Lemon Juice – 30 ml
Simple Syrup – 20 ml
Lemon Peel – 1</t>
  </si>
  <si>
    <t>Treacle</t>
  </si>
  <si>
    <t>Dark Rum – 60 ml
Simple Syrup – 7 ml
Angostura Bitters – 1 dash
Orange Peel – 1</t>
  </si>
  <si>
    <t>Trinidad</t>
  </si>
  <si>
    <t>Light Rum – 45 ml
Angostura Bitters – 4 dash
Cola – 150 ml
Lime – 1 wedge</t>
  </si>
  <si>
    <t>Twelve Mile Limit</t>
  </si>
  <si>
    <t>Light Rum – 30 ml
Rye – 15 ml
Brandy – 15 ml
Grenadine – 15 ml
Lemon Juice – 15 ml
Lemon Peel – 1</t>
  </si>
  <si>
    <t>Vendome</t>
  </si>
  <si>
    <t>Gin – 30 ml
Dubonnet – 30 ml
Dry Vermouth – 30 ml
Lemon Peel – 1 twist</t>
  </si>
  <si>
    <t>Vesper</t>
  </si>
  <si>
    <t>Gin – 60 ml
Vodka – 30 ml
Lillet Blanc – 15 ml
Lemon Peel – 1</t>
  </si>
  <si>
    <t>Vieux Carré</t>
  </si>
  <si>
    <t>Cognac – 30 ml
Rye – 30 ml
Sweet Vermouth – 30 ml
Benedictine – 5.0 ml
Angostura Bitters – 2 dash
Peychaud's Bitters – 2 dash
Cherry – 1</t>
  </si>
  <si>
    <t>Vodka Gimlet</t>
  </si>
  <si>
    <t>Vodka – 60 ml
Lime Juice – 30 ml
Simple Syrup – 20 ml
Lime – 1 wedge</t>
  </si>
  <si>
    <t>Vodka Martini</t>
  </si>
  <si>
    <t>Vodka – 75 ml
Dry Vermouth – 20 ml
Lemon Peel – 1</t>
  </si>
  <si>
    <t>Ward 8</t>
  </si>
  <si>
    <t>Rye – 60 ml
Lemon Juice – 15 ml
Orange Juice – 15 ml
Grenadine – 7 ml
Club Soda – 15 ml</t>
  </si>
  <si>
    <t>Whiskey Collins</t>
  </si>
  <si>
    <t>Bourbon – 45 ml
Lemon Juice – 20 ml
Simple Syrup – 15 ml
Club Soda – 120 ml
Lemon – 1 wedge</t>
  </si>
  <si>
    <t>Whiskey Sour</t>
  </si>
  <si>
    <t>Bourbon – 60 ml
Lemon Juice – 20 ml
Simple Syrup – 15 ml
Cherry – 1</t>
  </si>
  <si>
    <t>White Lady</t>
  </si>
  <si>
    <t>Egg white – 15 ml
Lemon Juice – 20 ml
Gin – 45 ml
Triple Sec – 20 ml
Lemon Peel – 1</t>
  </si>
  <si>
    <t>White Negroni #2 - Less Suze</t>
  </si>
  <si>
    <t>Gin – 30 ml
Suze – 15 ml
Lillet Blanc – 45 ml</t>
  </si>
  <si>
    <t>White Negroni</t>
  </si>
  <si>
    <t>Gin – 30 ml
Suze – 30 ml
Lillet Blanc – 30 ml
Orange Peel – 1</t>
  </si>
  <si>
    <t>White Russian</t>
  </si>
  <si>
    <t>WP Martinez</t>
  </si>
  <si>
    <t>Paragon White Penja Pepper – 15 ml
Gin – 45 ml
Sweet Vermouth – 20 ml
Maraschino Liqueur – 5 ml
Angostura Bitters – 2 drop</t>
  </si>
  <si>
    <t>Yellow Bird</t>
  </si>
  <si>
    <t>Light Rum – 45 ml
Lime Juice – 15 ml
Triple Sec – 15 ml
Galliano – 15 ml
Lime – 1 wedge</t>
  </si>
  <si>
    <t>Gin Rickey</t>
  </si>
  <si>
    <t>Gin - 60 ml
Lime Juice - 15 ml
Spent Lime Hull - 1
Club Soda - 120 ml</t>
  </si>
  <si>
    <t>A classic cocktail and the first drink in The Savoy Cocktail Book from 1930. Still well known in Britain, it blends gin, Lillet Blanc, orange juice, and a dash of orange bitters.</t>
  </si>
  <si>
    <t>This variation on the Old Fashioned gets a pleasant herbal kick from Galliano liqueur, adding vanilla and anise notes to the bourbon base with simple syrup and Angostura bitters.</t>
  </si>
  <si>
    <t>A rum-based champagne cocktail likely created in 1930s Cuba, possibly by Bacardi to celebrate the launch of airmail service. Published in Esquire's 1949 Handbook for Hosts.</t>
  </si>
  <si>
    <t>Also sometimes known as a Southern Slammer, this fruity drink was popular in the 1980s and was often available in pitcher size at chain restaurants. It blends vodka with amaretto and Southern Comfort.</t>
  </si>
  <si>
    <t>A variation on the martini replacing dry vermouth with yellow Chartreuse, a liqueur produced by Carthusian monks in France. A classic cocktail dating to the early 20th century.</t>
  </si>
  <si>
    <t>Named after Spanish King Alfonso XIII, who is said to have tried this cocktail while in France. A sugar cube soaked in Angostura bitters is topped with Dubonnet and sparkling wine.</t>
  </si>
  <si>
    <t>Named for the famed Algonquin Hotel in New York City. Since the hotel didn't serve alcohol until after Prohibition, this rye, vermouth, and pineapple cocktail likely dates to the mid-1930s.</t>
  </si>
  <si>
    <t>A smooth, sweet cocktail ideal for those who prefer an easy-drinking drink. The almond-flavored amaretto is balanced by fresh lemon juice for a simple yet satisfying sour.</t>
  </si>
  <si>
    <t>Based on the American Trilogy cocktail from Little Branch in New York City. A nice combination of rye whiskey, Grand Marnier, apple brandy, and both Angostura and Peychaud's bitters.</t>
  </si>
  <si>
    <t>A very pleasant sparkling cocktail where smooth Tennessee whiskey meets champagne. A sugar cube soaked in Angostura bitters adds depth to this elegant, celebratory drink.</t>
  </si>
  <si>
    <t>Originally dubbed the Americano because of its popularity with US tourists in Italy during Prohibition. The recipe was created at Gaspare's Campari Bar in Turin in 1861.</t>
  </si>
  <si>
    <t>Also called a Trinidad Fizz, this cocktail comes from Charles Baker's 1939 "Gentleman's Companion." Unusual for a cocktail, this drink uses Angostura bitters as the base spirit.</t>
  </si>
  <si>
    <t>A rich, spicy after-dinner cocktail first published in the late 1930s. Dark rum meets triple sec and Calvados for a spirit-forward blend of fruit and woody notes.</t>
  </si>
  <si>
    <t>An easy, refreshing tropical drink served at the Barlovento Maloka hotel in Colombia's Tayrona Park. Light rum, pineapple, and orange juice get a surprising kick from a dash of hot sauce.</t>
  </si>
  <si>
    <t>A Prohibition-era cocktail whose exact creator is unknown, though some attribute it to Frank Meier, a famous bartender at the Ritz in Paris in the 1920s. It blends gin, lemon, and honey.</t>
  </si>
  <si>
    <t>Sweet, fresh, and indulgent. Belle De Brillet pear liqueur and orgeat syrup create a perfect pear-almond harmony, brightened by lemon juice and lengthened with sparkling water.</t>
  </si>
  <si>
    <t>All the freshness of the pear in a simple, refreshing drink. The lemon juice tempers the sweetness of the Belle De Brillet liqueur, topped with sparkling water for a light finish.</t>
  </si>
  <si>
    <t>An original, fresh, and zesty summer cocktail with a touch of pear! Belle De Brillet is paired with dry vermouth and sparkling water for a light, effervescent warm-weather sipper.</t>
  </si>
  <si>
    <t>A variation on the gin sour family. Replace the lemon in a gin sour with lime and you get a gimlet; add Angostura bitters to a gimlet and you get the Bennett. Simple and elegant.</t>
  </si>
  <si>
    <t>A deceptively simple cocktail from The Savoy Cocktail Book. Equal parts Calvados and Dubonnet combine to create a rich, fruity, and aromatic aperitif that belies its two-ingredient simplicity.</t>
  </si>
  <si>
    <t>Named after the legendary maker of the American flag, this version comes from David Embury's The Fine Art of Mixing Drinks. It combines brandy, ruby port, and a touch of orange curaçao.</t>
  </si>
  <si>
    <t>A Prohibition-era cocktail and the grandfather of all the suggestively named drinks that followed. Similar to a Sidecar, but with the addition of aged rum alongside the brandy.</t>
  </si>
  <si>
    <t>One of the oldest cocktails in Harry Johnson's 1900 "New and Improved Bartender Manual." Bijou is French for jewel, and the drink blends gin, sweet vermouth, and green Chartreuse.</t>
  </si>
  <si>
    <t>Created by Jeremy Ortel of Dram in New York. While you can taste the Mai Tai, the addition of Campari adds a bitter complexity. The mint garnish provides a fresh scent to the citrus aroma.</t>
  </si>
  <si>
    <t>A coffee-forward cocktail from the Angostura Professional Mixing Guide. Benedictine and maraschino liqueur blend with chilled coffee for a drink reminiscent of Black Forest cake.</t>
  </si>
  <si>
    <t>A classic coffee and vodka drink from 1949, attributed to Belgian barkeep Gustave Tops of the Hotel Metropole in Brussels. Vodka is poured over ice, followed by coffee liqueur.</t>
  </si>
  <si>
    <t>Rich and smooth, the Blackthorne was invented by famed American expatriate Harry Craddock at the Savoy Hotel in London during Prohibition. It pairs Irish whiskey with sweet vermouth and bitters.</t>
  </si>
  <si>
    <t>A classic "hair of the dog" brunch cocktail with disputed origins from the early 20th century. Its base of vodka and tomato juice is spiced with Worcestershire, hot sauce, and horseradish.</t>
  </si>
  <si>
    <t>A gin-based cocktail created in 1927 by Frank Meier at the Ritz in Paris to celebrate the automobile speed record set by Sir Malcolm Campbell in his famous Blue Bird racing car.</t>
  </si>
  <si>
    <t>A classic cocktail named for Scottish poet Robert Burns. Equal parts Scotch and sweet vermouth are enhanced with a barspoon of herbal Benedictine and a lemon peel garnish.</t>
  </si>
  <si>
    <t>A fruit-forward, simple, easy-drinking cocktail named for the Italian lawn game. Amaretto and orange juice are lengthened with club soda for a refreshing, low-proof afternoon sipper.</t>
  </si>
  <si>
    <t>A twist on the classic Old Fashioned using Bols Barrel Aged Genever, whose malty taste is similar to bourbon. Simple syrup and Angostura bitters complete this spirit-forward Dutch variation.</t>
  </si>
  <si>
    <t>Cousin to the Negroni, substituting bourbon for gin. First appeared in Harry McElhone's 1927 Barflies &amp; Cocktails. Named after a Paris magazine edited by American expatriate Erskine Gwynn.</t>
  </si>
  <si>
    <t>A variant of the Boulevardier using rye whiskey instead of bourbon for a spicier, more assertive take. The rye's peppery notes pair beautifully with Campari and sweet vermouth.</t>
  </si>
  <si>
    <t>A cocktail similar to the Manhattan, getting its sweetness and complexity from Benedictine liqueur. Bourbon and dry vermouth provide the backbone, finished with an orange peel twist.</t>
  </si>
  <si>
    <t>A cocktail originating at the New Orleans City Exchange under Joseph Santini in the 1850s. Named for its sugar-crusted rim, it features cognac, orange curaçao, and a touch of lemon.</t>
  </si>
  <si>
    <t>A popular New Orleans brunch cocktail, this delicious and decadent drink blends cognac with milk, simple syrup, and vanilla extract, topped with a dusting of fresh nutmeg.</t>
  </si>
  <si>
    <t>Essentially a Black Russian with tequila in place of vodka. The flavor combination of tequila and coffee liqueur works surprisingly well, yielding a rich, spirit-forward nightcap.</t>
  </si>
  <si>
    <t>A Breton variation of the Moscow Mule using buckwheat-flavored gin from Saint-Malo instead of vodka. The gin's toasty, nutty character adds depth to the classic lime and ginger beer combo.</t>
  </si>
  <si>
    <t>Essentially a Martini with orange juice and sweet vermouth, hugely popular right after Prohibition. Its inventor is disputed between Johnnie Solon at the Waldorf-Astoria and a Bronx restaurateur.</t>
  </si>
  <si>
    <t>Designed by cocktail consultant Jacob Grier, sweetened with maple syrup as a nod to New Hampshire heritage. Aged rum and grade B maple syrup make this drink exceptional.</t>
  </si>
  <si>
    <t>A creamy tropical cocktail blending coffee liqueur, Irish cream, light rum, and amaretto with cream. This version from Stew Ellington's 901 Very Good Cocktails is very easy going.</t>
  </si>
  <si>
    <t>Most likely named after the comic strip character from the early 1900s, the Buster Brown is a classic pre-Prohibition bourbon sour with lemon juice, simple syrup, and orange bitters.</t>
  </si>
  <si>
    <t>Adapted from a cocktail at the Starlight Room in San Francisco. Spiced rum and triple sec are shaken with lemon juice, egg white, and simple syrup, served in a cinnamon-sugar-rimmed glass.</t>
  </si>
  <si>
    <t>The national drink of Brazil, made from cachaça, a spirit distilled from fermented sugar cane juice. Muddled lime and sugar complete this simple yet iconic cocktail now popular worldwide.</t>
  </si>
  <si>
    <t>A variation on the Caipirinha using vodka instead of cachaça, this drink has grown popular in South America as premium vodkas have become more available in that region.</t>
  </si>
  <si>
    <t>An odd combination of ingredients that somehow comes together quite nicely. Adapted from The Savoy Cocktail Book, it blends Scotch and Irish whiskey with lemon juice and orgeat syrup.</t>
  </si>
  <si>
    <t>Originally called the "Red Devil" when created by the Ocean Spray cooperative in 1945. A simple mix of vodka and cranberry juice, it is related to the Sea Breeze and Bay Breeze cocktails.</t>
  </si>
  <si>
    <t>A sparkling spin on the classic mojito. Muddled mint, lime, and light rum form the base, topped with sparkling wine for an effervescent, celebratory Caribbean-inspired cocktail.</t>
  </si>
  <si>
    <t>Created at the Waldorf Astoria in NYC in the 1920s and named after the legendary silent film star. Equal parts apricot liqueur, sloe gin, and lime juice make a fruity, balanced cocktail.</t>
  </si>
  <si>
    <t>Created by Brian Miller of Death &amp; Company in 2009 and named after a Mexican slang term for cool. Tequila reposado meets Benedictine, citrus juices, and orgeat for a complex sipper.</t>
  </si>
  <si>
    <t>A festive variation of the popular Moscow Mule that swaps ginger beer for cranberry juice and spiced red berries syrup, giving a warm holiday spirit to this beloved classic.</t>
  </si>
  <si>
    <t>A low-alcohol cocktail created around 1916 by Hugo Ensslin, a German bartender in New York. Dry vermouth and Benedictine with a dash of absinthe make an elegant, herbal aperitif.</t>
  </si>
  <si>
    <t>Peggy Guggenheim's biography mentions this cocktail was served during the 1940s on the Boeing flying boats known as Clippers. Light rum, dry vermouth, and grenadine make a smooth sipper.</t>
  </si>
  <si>
    <t>An herbal gin sour dating back at least to the 1970s. Yellow Chartreuse adds alpine complexity to gin, grapefruit juice, and lemon juice for a refreshing, layered citrus cocktail.</t>
  </si>
  <si>
    <t>A twist on the classic Boulevardier where coffee-infused Campari replaces the original, adding roasted depth. Bourbon and the bitter coffee notes create a bold, sophisticated variation.</t>
  </si>
  <si>
    <t>Despite its name, this classic drink contains no coffee at all. A whole egg, brandy, ruby port, and simple syrup are shaken to create a rich, velvety drink topped with nutmeg.</t>
  </si>
  <si>
    <t>A modern twist on the 1919 Negroni, replacing standard Campari with coffee-infused Campari. The roasted coffee notes add complexity to the classic combination of gin and sweet vermouth.</t>
  </si>
  <si>
    <t>Early Sazeracs were made with cognac until the Phylloxera epidemic wiped out French vineyards in the 1870s. Rye was substituted and the change stuck, but this is the original version.</t>
  </si>
  <si>
    <t>Very similar to a White Russian, this simple fizzy cocktail blends vodka, coffee liqueur, and cream. Its unknown origins haven't diminished its popularity as a creamy, easy-drinking treat.</t>
  </si>
  <si>
    <t>From Harry Craddock's 1930 Savoy Cocktail Handbook, this "hair of the dog" hangover cure combines gin, Cointreau, Lillet Blanc, and lemon juice with a dash of absinthe.</t>
  </si>
  <si>
    <t>The Cosmo, a relative of cranberry juice cocktails, is claimed by several 1970s bartenders. It became extremely popular in the 1990s after frequent mentions in Sex and the City.</t>
  </si>
  <si>
    <t>A variation on the classic Margarita adding cranberry juice to the mix. Tequila, triple sec, lime juice, and cranberry make a tart, fruity twist on the beloved Mexican classic.</t>
  </si>
  <si>
    <t>An equal-portions drink that comes together very nicely. Cognac, Dubonnet, triple sec, and lemon juice are combined in equal measure for a balanced, citrus-accented cocktail.</t>
  </si>
  <si>
    <t>Reportedly invented by American mining engineer Jennings Cox in late 1800s Cuba. Its popularity exploded in the 1940s during wartime rum availability. A simple blend of rum, lime, and sugar.</t>
  </si>
  <si>
    <t>The Brandy Daisy is the precursor to both the Sidecar and Margarita (margarita is Spanish for daisy). Popular in the late 1800s, first published in Jerry Thomas' 1876 Bartender's Guide.</t>
  </si>
  <si>
    <t>An adaptation of a cocktail from The Savoy Cocktail Book. Equal parts gin, apricot liqueur, and dry vermouth are brightened with a splash of lemon juice for a fruity, balanced drink.</t>
  </si>
  <si>
    <t>Created and trademarked by the makers of Gosling's Black Seal Rum, this mix of dark rum and ginger beer with lime juice has been called the national drink of Bermuda.</t>
  </si>
  <si>
    <t>A cocktail by Ernest Hemingway, contributed to the 1935 book So Red The Nose. Simply absinthe topped with chilled sparkling wine, this potent drink is sometimes called a Hemingway.</t>
  </si>
  <si>
    <t>A cocktail from Ted Saucier's 1962 Bottoms Up! book. Rye whiskey, applejack, and yellow Chartreuse combine for a spirit-forward drink with herbal and apple notes. Garnished with a cherry.</t>
  </si>
  <si>
    <t>A vermouth-based cocktail that's not too heavy on alcohol, ideal for keeping a clear head during important diplomatic negotiations. Equal parts dry and sweet vermouth with maraschino and bitters.</t>
  </si>
  <si>
    <t>From Mayahuel restaurant in New York, famed for its elevation of mezcal drinks to an art form. Named after the Pink Floyd album, it combines mezcal, Aperol, lime, and maraschino.</t>
  </si>
  <si>
    <t>Created at the Waldorf Astoria in 1894 to honor the operetta Rob Roy, based on the Scottish hero. Similar to a Manhattan but made with Scotch and dry vermouth instead of bourbon and sweet vermouth.</t>
  </si>
  <si>
    <t>A popular English cocktail from the 1920s. Equal parts Dubonnet and gin are stirred with Angostura bitters and garnished with a lemon twist for a bittersweet, aromatic aperitif.</t>
  </si>
  <si>
    <t>One of the Soho House group's House Tonic cocktails, the Eastern Standard is based on the Eastside, a cucumber and mint gin drink inspired by the classic Southside cocktail.</t>
  </si>
  <si>
    <t>An intriguing spirit-forward cocktail from The Chestnut Club in Santa Monica, California. Mezcal and rye are united by herbal Benedictine and Peychaud's bitters, with an orange twist.</t>
  </si>
  <si>
    <t>First referenced in a 1946 Trader Vic's book, this is one of the few tequila drinks from that era. Its brilliant red color from crème de cassis likely inspired the devilish name.</t>
  </si>
  <si>
    <t>Named after the Floridita bar in Havana, this was rumored to be Ernest Hemingway's favorite. The bar's bartenders specialized in rum and citrus cocktails like this rum-lime-maraschino blend.</t>
  </si>
  <si>
    <t>A classic Cuban cocktail named after president Gerardo Machado in the 1920s. Light rum, bianco vermouth, orange curaçao, and a touch of grenadine make this elegant pre-dinner drink.</t>
  </si>
  <si>
    <t>A variant of the classic Margarita using St. Germain elderflower liqueur in place of triple sec. The floral elderflower adds elegance and sweetness to the tequila and lime combination.</t>
  </si>
  <si>
    <t>A shooter named for its electric blue appearance from blue curaçao, though its fruity flavor is all citrus. Triple sec, vodka, and lime juice complete this refreshing but potent shot.</t>
  </si>
  <si>
    <t>A variation on the Last Word by New York bartender Phil Ward. He swapped gin for rye and lime for lemon, letting the interplay of maraschino and green Chartreuse shine through.</t>
  </si>
  <si>
    <t>Yet another cocktail from the tremendously influential Savoy Cocktail Book. Equal parts gin, dry vermouth, and sweet vermouth are accented with a dash of absinthe and a lemon peel.</t>
  </si>
  <si>
    <t>A tequila-based variation of the classic Harvey Wallbanger. Tequila replaces vodka, mixed with orange juice and floated Galliano liqueur, for a fruity, vanilla-accented tall drink.</t>
  </si>
  <si>
    <t>Created in 1915 at the New York Bar in Paris. Named after the French 75mm artillery cannon, a reference to the "kick" of this gin, lemon juice, simple syrup, and sparkling wine cocktail.</t>
  </si>
  <si>
    <t>Perfectly at home at the event it was named for. Green Chartreuse, muddled mint, lime juice, and club soda combine for an herbal, refreshing drink ideal for a hot summer day.</t>
  </si>
  <si>
    <t>A classic cocktail of gin and lime juice, similar to a daiquiri but with gin. As described in Raymond Chandler's The Long Goodbye: half gin and half lime juice and nothing else.</t>
  </si>
  <si>
    <t>A visually striking layered drink from expert mixologist Wayne Collins, named after David Bowie's song The Jean Genie. Gin and sloe gin are combined with lemon, simple syrup, and muddled mint.</t>
  </si>
  <si>
    <t>Originally made with bourbon by Col. Joe Rickey at Shoomakers bar in Washington, D.C. in the 1880s. The gin version may have originated at the 1893 Chicago Exposition and has become the standard.</t>
  </si>
  <si>
    <t>A way to spice up your champagne with ginger and vodka! A splash of vodka and ginger syrup adds warmth and complexity to sparkling wine, perfect for the holiday season.</t>
  </si>
  <si>
    <t>The illegitimate child of a Spritz and a Moscow Mule. Lillet Blanc, sparkling wine, and ginger beer combine for a light, effervescent aperitif with a spicy ginger kick.</t>
  </si>
  <si>
    <t>The origins of this drink are unknown, but the unlikely pairing of Scotch whisky and amaretto works better than one might expect. The almond sweetness softens the Scotch's smoky bite.</t>
  </si>
  <si>
    <t>A variation on the Godfather cocktail using vodka in place of Scotch. The neutral spirit lets the sweet almond flavor of amaretto take center stage in this simple two-ingredient drink.</t>
  </si>
  <si>
    <t>According to Philippe Collin's 2024 novel Le Barman du Ritz, this cocktail was invented by Charles, one of Frank Meier's students, who became owner of the Hôtel du Palais in Biarritz.</t>
  </si>
  <si>
    <t>Slate's Troy Patterson ranked this the best Ivy League-named cocktail. A refreshing twist on the Collins, using Calvados as the base spirit with lime juice, simple syrup, and club soda.</t>
  </si>
  <si>
    <t>Invented in 1952 by Donato "Duke" Antone, who started the first American mixology school in California. Vodka and orange juice are topped with a float of Italian Galliano liqueur.</t>
  </si>
  <si>
    <t>A friendlier version of a Hemingway favorite, similar to the El Floridita but with the addition of grapefruit juice. Light rum, lime, maraschino liqueur, and grapefruit make it tangy and bright.</t>
  </si>
  <si>
    <t>A wonderful cocktail from Hugo Ensslin's 1917 Recipes for Mixed Drinks. Calvados, Benedictine, orange curaçao, and lemon juice combine for a beautifully balanced, aromatic celebration drink.</t>
  </si>
  <si>
    <t>In Germany, the biggest market for cachaça outside Brazil, drinkers adapt the Caipirinha for cold weather by serving it hot. Choosing a barrel-aged cachaça makes this odd combination work well.</t>
  </si>
  <si>
    <t>A lighter variation of the Spritz popular in Austria and northern Italy. St. Germain elderflower liqueur replaces the traditional Aperol, combined with sparkling wine and a splash of club soda.</t>
  </si>
  <si>
    <t>A refreshing take on the Hummingbird from Brooks Reitz of FIG in Charleston, South Carolina. Gin, Campari, St. Germain, and sweet vermouth make a bittersweet, floral, and complex aperitif.</t>
  </si>
  <si>
    <t>This signature drink was served to celebrities and VIPs at the 2015 Neighborhood Awards hosted by Steve Harvey. Aged rum, lime, maple syrup, and bitters make a smooth, balanced cocktail.</t>
  </si>
  <si>
    <t>A variation on a cocktail from the Cafe Royal Cocktail Book, credited to J. E. Johnson. Cognac, dry vermouth, and apricot liqueur are combined with Angostura bitters and a lemon twist.</t>
  </si>
  <si>
    <t>A classic dating back to the 1920s that appears in Hemingway's The Sun Also Rises and David Embury's The Fine Art of Mixing Drinks. Applejack, lemon juice, and grenadine create a rosy hue.</t>
  </si>
  <si>
    <t>A carefully layered cocktail that tastes much better once stirred to blend the flavors. Grenadine, blue curaçao, citrus juices, and dark rum create a colorful, fruity showstopper.</t>
  </si>
  <si>
    <t>Named for Ireland's most famous author and based on the Oriental cocktail. Irish whiskey is paired with sweet vermouth, Cointreau, and lime juice for a citrusy, literary libation.</t>
  </si>
  <si>
    <t>Created by Paul Harrington in the mid-1990s at the Townhouse Bar &amp; Grill in Emeryville, California. Gin, triple sec, Campari, and lemon juice yield a bittersweet, citrus-forward cocktail.</t>
  </si>
  <si>
    <t>From Jeffrey Morgenthaler of Clyde Common in Portland, Oregon, who calls this the "best Amaretto Sour you've ever had." Cask-strength bourbon helps balance the sweetness of the amaretto.</t>
  </si>
  <si>
    <t>A smooth, refreshing, herbal cocktail from The Cafe Royal Cocktail Book. Gin and Benedictine are shaken with lemon and orange juice and egg white for a silky, frothy, elegant drink.</t>
  </si>
  <si>
    <t>A tailor-made cocktail recipe created and shared by a fellow home mixologist. Kalê liqueur, lemon juice, and egg white are shaken vigorously to produce a silky, frothy sour cocktail.</t>
  </si>
  <si>
    <t>No verified origin exists for the Kamikaze, but most accounts place it in the mid-1970s via a Smirnoff advertisement. Vodka, triple sec, and lime juice make a sharp, citrusy shooter or cocktail.</t>
  </si>
  <si>
    <t>A Celtic variation on the whisky sour created for the release of mystery novel Kilmoon by Lisa Alber. Irish whiskey and grenadine add a red hue suggestive of its murderous origin.</t>
  </si>
  <si>
    <t>The Kir Royale is a standard Kir made with sparkling wine instead of white wine. Usually served in France as an apéritif, a splash of crème de cassis adds deep berry sweetness to the bubbly.</t>
  </si>
  <si>
    <t>According to Stanley Arthur's 1937 "Famous New Orleans Drinks," this was the house cocktail of the Restaurant de la Louisiane. Equal parts rye, sweet vermouth, and Benedictine.</t>
  </si>
  <si>
    <t>A beery version of a margarita that works best with a light Mexican beer. From cocktail expert Simon Ford, it combines tequila, Cointreau, and lime juice, topped off with cold lager.</t>
  </si>
  <si>
    <t>A Prohibition-era cocktail from the Detroit Athletic Club, lost after WWII. Rediscovered in 2004 by Murray Stenson at Seattle's Zig Zag Cafe. Equal parts gin, Chartreuse, lime, and maraschino.</t>
  </si>
  <si>
    <t>Created in 1951 by columnist Frank Farrell, a former U.S. Marine ("Leatherneck" is Marine slang). Canadian whiskey and blue curaçao give this cocktail its distinctive color and citrus notes.</t>
  </si>
  <si>
    <t>A tequila-based variation on the White Russian, replacing vodka with tequila. Equal parts tequila, coffee liqueur, and cream blend into a smooth, rich after-dinner cocktail.</t>
  </si>
  <si>
    <t>Approach with caution! Famous for tasting just like iced tea while being mostly liquor. Vodka, rum, gin, tequila, and triple sec are topped with a splash of cola for a deceptively smooth drink.</t>
  </si>
  <si>
    <t>Perhaps an evolution of the Cape Cod Cocktail, the Madras adds orange juice to the cranberry-vodka base for a more complex, fruity drink. Refreshing and easy to make at home.</t>
  </si>
  <si>
    <t>Reportedly created by Victor Bergeron of Trader Vic's in 1944. Its name derives from the Tahitian "Maita'i roa ae!" meaning "Very good!" It became synonymous with 1950s and 1960s tiki culture.</t>
  </si>
  <si>
    <t>One of the most popular cocktails of the late 1800s, named after a Broadway singer of that era. Similar to the Moscow Mule and the Dark and Stormy, it features Scotch and ginger beer.</t>
  </si>
  <si>
    <t>Its precise origin is debatable, with some tracing it to the Manhattan Club in NYC in the 1870s. Traditionally made with rye, many recipes now use bourbon with sweet vermouth and bitters.</t>
  </si>
  <si>
    <t>The original Manhattan recipe calls for rye whiskey, offering a spicier, drier flavor profile than the bourbon version. Rye, sweet vermouth, and Angostura bitters make a timeless classic.</t>
  </si>
  <si>
    <t>A seasonal take on the Old Fashioned, substituting maple syrup for sugar. The maple gives the bourbon a smoother, earthier flavor, complemented by Angostura bitters and orange peel.</t>
  </si>
  <si>
    <t>A wonderful fall cocktail and a variation on the whiskey sour. Maple syrup takes the place of sugar as the sweetener, pairing beautifully with bourbon and lemon juice for autumn sipping.</t>
  </si>
  <si>
    <t>The most common tequila cocktail in the US, often attributed to Don Carlo Orozco at Hussong's Cantina in Ensenada in 1941. Margarita is Spanish for daisy, linking it to an older brandy drink.</t>
  </si>
  <si>
    <t>Probably the best-known cocktail of all time, the Martini evolved from the 1860s-era Martinez. The ideal gin-to-vermouth ratio is endlessly debated; this recipe uses a classic 3:1 proportion.</t>
  </si>
  <si>
    <t>A smoky twist on the classic Negroni, replacing gin with mezcal. The spirit's earthy, smoky character adds a distinctive Mexican dimension to the Campari and sweet vermouth combination.</t>
  </si>
  <si>
    <t>A popular Mexican beer cocktail with many versions throughout Latin America, often used as a hangover remedy. Spiced with hot sauce, Worcestershire, lime, and celery salt over beer.</t>
  </si>
  <si>
    <t>Milano Torino is the original name of the Americano cocktail, but this version omits the seltzer. Equal parts Campari and sweet vermouth make it a more concentrated, bittersweet variation.</t>
  </si>
  <si>
    <t>Typically served at brunch or to wedding guests. A standard Mimosa is equal parts orange juice and sparkling wine, but this recipe adds Cointreau for a little extra citrus twist.</t>
  </si>
  <si>
    <t>The classic drink of the American South, around since at least 1803. Muddled mint and simple syrup with bourbon over crushed ice. It is famously associated with the Kentucky Derby horse race.</t>
  </si>
  <si>
    <t>Originating in Cuba and similar to a 19th-century drink called El Draque after privateer Sir Francis Drake. Rum, lime, mint, sugar, and soda make this an enduringly popular refresher.</t>
  </si>
  <si>
    <t>Created in 1941 by spirits distributor John Martin and Jack Morgan of L.A.'s Cock 'n Bull restaurant. Popular with Hollywood celebrities, it helped popularize vodka in the United States.</t>
  </si>
  <si>
    <t>A creamy cocktail containing three liquors (a Trio). While its exact origins are hard to prove, some of the first Mudslides were served at Rum Point in the Cayman Islands.</t>
  </si>
  <si>
    <t>Inspired by the Last Word and Paper Plane, this drink was created by Joaquín Simó in 2011. Equal parts mezcal, yellow Chartreuse, Aperol, and lime juice create a smoky, balanced cocktail.</t>
  </si>
  <si>
    <t>Created in Florence in 1919 when Count Negroni asked bartender Fosco Scarselli for a stronger Americano with gin instead of soda. Equal parts gin, Campari, and sweet vermouth since then.</t>
  </si>
  <si>
    <t>Sbagliato means "mistaken" in Italian. Legend says it came from a bartender mistakenly using sparkling wine instead of gin in a Negroni. A happy accident that makes a great aperitif.</t>
  </si>
  <si>
    <t>A variant of the classic Negroni using vodka in place of gin. The neutral spirit allows the bold flavors of Campari and sweet vermouth to take center stage in this simple, bitter-forward twist.</t>
  </si>
  <si>
    <t>A great rum drink from Judge Jr.'s 1927 "Here's How" cocktail book. Light rum, grapefruit juice, lime juice, simple syrup, and a dash of Angostura bitters create a citrusy, balanced sour.</t>
  </si>
  <si>
    <t>Created by Hugo Ensslin at the Hotel Wallick in New York (1916). This version follows Harry Craddock's 1930 Savoy recipe, omitting the crème de violette. Gin, lemon, and maraschino liqueur.</t>
  </si>
  <si>
    <t>A unique combination of nut and fruit flavors. Hazelnut-flavored Frangelico and raspberry liqueur are blended with cream for a dessert-like cocktail that's sweet, smooth, and indulgent.</t>
  </si>
  <si>
    <t>This easy-drinking cocktail gets its nutty flavor from Frangelico, an Italian hazelnut liqueur. Combined with vodka, it creates a smooth, dessert-style drink with rich toasted nut notes.</t>
  </si>
  <si>
    <t>A variant of the Moscow Mule using mezcal in place of vodka for an earthier, smokier flavor. Lime juice and ginger beer complement the mezcal's complexity in this Mexican-inspired twist.</t>
  </si>
  <si>
    <t>A classic American drink rooted in sweet whisky cocktails of the 1800s. "Old Fashioned" refers to the original way of making a cocktail: spirit, sugar, bitters, and ice. Simple and timeless.</t>
  </si>
  <si>
    <t>Another classic from Harry Craddock's Savoy Cocktail Book. Rye whiskey, sweet vermouth, triple sec, and lime juice combine for a balanced cocktail with citrus and spice character.</t>
  </si>
  <si>
    <t>Created by star New York bartender Sam Ross, named after the M.I.A. song he listened to while inventing it. Equal parts bourbon, lemon juice, Aperol, and amaro make a bittersweet modern classic.</t>
  </si>
  <si>
    <t>A modern classic created by New York bartender Sam Ross. Scotch whisky is combined with honey, lemon juice, and ginger for a soothing, warming cocktail that's a cure for a chilly night.</t>
  </si>
  <si>
    <t>A tailor-made cocktail recipe created and shared by a fellow home mixologist. White Penja pepper syrup is combined with beer in this unusual, spice-forward drink from Cameroon's pepper region.</t>
  </si>
  <si>
    <t>Created at the Waldorf Astoria in 1894 for the operetta Rob Roy. Similar to a Manhattan but with Scotch; the Perfect version uses equal parts sweet and dry vermouth for balanced complexity.</t>
  </si>
  <si>
    <t>A refreshing summer drink popular in Great Britain and closely associated with New Orleans, where it's the house drink at the Napoleon House. Pimm's No. 1, lemon, and ginger ale over ice.</t>
  </si>
  <si>
    <t>Created in Lima, Peru by American bartender Victor Morris in the early 1920s. The Pisco Sour is the national drink of both Peru and Chile, featuring pisco, lime, egg white, and bitters.</t>
  </si>
  <si>
    <t>Mentioned in Philippe Collin's 2024 novel Le Barman du Ritz. Created by Frank Meier at the Ritz, it combines Pineau des Charentes, light rum, and lemon juice for an extraordinary flavor.</t>
  </si>
  <si>
    <t>A complex variation on the Manhattan accented with richly herbal Benedictine liqueur. Rye whiskey, sweet vermouth, and Angostura bitters round out this classic horse-racing-themed cocktail.</t>
  </si>
  <si>
    <t>Created by Neil Kopplin of the Carlyle Restaurant in Portland, Oregon. Vodka, lemon juice, St. Germain, and honey syrup are shaken and topped with sparkling wine for a floral, elegant fizz.</t>
  </si>
  <si>
    <t>Named after its Philadelphia creator's wife, not the queen of England. Dating from just after Prohibition, it combines dry vermouth, Benedictine, and lime juice for an herbal sipper.</t>
  </si>
  <si>
    <t>A layered cocktail from Dee Brun, the Cocktail Diva. After impressing your audience with the stunning visuals of blue curaçao, grenadine, and juices, stir to blend all the flavors.</t>
  </si>
  <si>
    <t>Invented by Henry C. Ramos in New Orleans. The key is shaking with ice for 1-2 minutes for a silky texture. Gin, citrus, egg white, cream, and orange flower water create an iconic, frothy drink.</t>
  </si>
  <si>
    <t>From Harry Johnson's 1882 New and Improved Bartender's Manual. Gin, raspberry liqueur, lime juice, and egg white are shaken and topped with club soda for a fruity, frothy fizz.</t>
  </si>
  <si>
    <t>A brunch cocktail for those who prefer beer over vodka in their Bloody Marys. Beer, tomato juice, hot sauce, and a raw egg make this hearty eye-opener, inspired by the movie Cocktail.</t>
  </si>
  <si>
    <t>A refreshing cocktail named after the character in Gone with the Wind. Southern Comfort, orange curaçao, lime juice, and cranberry juice create a fruity, Southern-inspired drink.</t>
  </si>
  <si>
    <t>A tasty swizzle from author and former Food &amp; Wine editor Nick Fauchald. Rhum agricole, grapefruit juice, muddled mint, brown sugar syrup, and grenadine make a complex tropical refresher.</t>
  </si>
  <si>
    <t>One of the rare cocktails featuring pastis as an ingredient. Orgeat syrup and lemon juice tame the anise spirit, topped with water for a refreshing, licorice-accented long drink.</t>
  </si>
  <si>
    <t>This Gimlet variation was created in 2001 by Jeffrey Morgenthaler. Gin, lime juice, and simple syrup form the classic sour base, elevated with a fresh sprig of muddled mint.</t>
  </si>
  <si>
    <t>Created at the Waldorf Astoria in 1894 for the operetta Rob Roy, based on the Scottish hero. Similar to a Manhattan but made with Scotch instead of bourbon, with sweet vermouth and bitters.</t>
  </si>
  <si>
    <t>A drink for fans of slightly bitter cocktails like the Negroni. Dating from the late 1980s, it features tequila, Campari, both sweet and dry vermouth, and a dash of Angostura bitters.</t>
  </si>
  <si>
    <t>A mix of Scotch whisky and Drambuie, where the sweetness of the liqueur mellows the bite of the Scotch. Cocktails similar to the Rusty Nail have been around since the late 1930s.</t>
  </si>
  <si>
    <t>A New Orleans classic created around 1850, named after a cognac brand. Originally made with absinthe, the recipe evolved to use rye whiskey and Peychaud's bitters. Louisiana's official cocktail.</t>
  </si>
  <si>
    <t>First served at Harry's Bar in Paris in 1924. The term Scofflaw described those who secretly drank alcohol during Prohibition. Rye, dry vermouth, lemon juice, and grenadine.</t>
  </si>
  <si>
    <t>Described as "like drinking ice cream," this creamy cocktail is served on the rocks or as a shooter. Coffee liqueur, Irish cream, amaretto, vodka, and cream make a rich indulgence.</t>
  </si>
  <si>
    <t>A very simple cocktail of vodka and orange juice. The first reference to a Screwdriver appeared in Time magazine in 1949. Legend says it was named by oil workers who stirred it with a screwdriver.</t>
  </si>
  <si>
    <t>Dating from the 1920s, originally made with gin and grenadine. Since cranberry juice became popular in the 1950s, the Sea Breeze has featured vodka, cranberry, and grapefruit juice.</t>
  </si>
  <si>
    <t>Created at the Seelbach Hotel in Louisville, Kentucky in 1917. The recipe was lost during Prohibition but "rediscovered" in 1995. Bourbon, Cointreau, bitters, and sparkling wine.</t>
  </si>
  <si>
    <t>Most recipes call for equal parts ale and ginger beer. This version, adapted from a recipe by Charles Dickens' great-grandson Cedric Dickens, adds orange curaçao for extra complexity.</t>
  </si>
  <si>
    <t>First appeared at the end of WWI in either London or Paris, with recipes published in 1922. Similar to a Daiquiri but uses brandy instead of rum, served with a sugar-crusted rim.</t>
  </si>
  <si>
    <t>Part grapefruit margarita, part tequila daiquiri, created by New York bartender Katie Stipe. Tequila, Campari, lime, grapefruit, and simple syrup make this a citrusy, bittersweet delight.</t>
  </si>
  <si>
    <t>From Harry Johnson's 1882 New and Improved Bartender's Manual. Old Tom gin, lemon juice, simple syrup, and egg white are shaken and topped with club soda for a classic, frothy fizz.</t>
  </si>
  <si>
    <t>From NYC mixologist Phil Ward, similar to a margarita but with yellow Chartreuse and muddled cucumber. Tequila, mint, and lime add layers of herbal, refreshing complexity to the blend.</t>
  </si>
  <si>
    <t>A Ramos Gin Fizz made lazily with a siphon instead of shaking for multiple minutes. The siphon carbonates a pre-made mix, delivering the same silky, frothy result with much less effort.</t>
  </si>
  <si>
    <t>A variation of the sour family with added carbonation. The term fizz first appeared in Jerry Thomas' 1887 guide. Sloe gin, lemon juice, simple syrup, and club soda create a fruity classic.</t>
  </si>
  <si>
    <t>A spicy and citrusy drink created by Brandon Burkart of Haddington's in Austin, Texas. Rye, Aperol, yellow Chartreuse, orange juice, bitters, and hot sauce deliver complex heat and flavor.</t>
  </si>
  <si>
    <t>An unusual frozen spin on the classic Sazerac. Rye, simple syrup, lemon juice, absinthe, and Peychaud's bitters are blended with ice for a refreshing, slushy take on the New Orleans classic.</t>
  </si>
  <si>
    <t>An Italian wine-based cocktail commonly served as an aperitif in Northeast Italy. Prosecco, Aperol, and soda water combine in this light, refreshing, bittersweet drink now popular worldwide.</t>
  </si>
  <si>
    <t>A cocktail for basil lovers from Todd Thrasher of Restaurant Eve in Alexandria, Virginia. Lillet Blanc, gin, and basil syrup combine for a fragrant, herbaceous, and refreshing drink.</t>
  </si>
  <si>
    <t>A variation of the Bijou replacing orange bitters with Campari. Equal parts gin, sweet vermouth, and green Chartreuse are enhanced with a dash of Campari for an herbal, bitter-forward cocktail.</t>
  </si>
  <si>
    <t>A nice long drink created by Rudolf Slavik at the George V Hotel in Paris in 1960. Triple sec, Campari, and lemon juice are topped with tonic water for a refreshingly bitter, citrusy cocktail.</t>
  </si>
  <si>
    <t>A variation on the whiskey sour using Tennessee whiskey, found in David Embury's classic 1948 The Fine Art of Mixing Drinks. Maraschino liqueur adds a subtle cherry note to the sour profile.</t>
  </si>
  <si>
    <t>Created by Chris McMillian and found in the excellent Beta Cocktails book. Equal parts Scotch, Campari, and green Chartreuse make a bold, herbal, and complex spirit-forward cocktail.</t>
  </si>
  <si>
    <t>Born in the late 1980s when bartenders discovered vodka's potential with fresh ingredients. Vodka, Kahlúa, espresso, and simple syrup are shaken into a rich, caffeinated modern classic.</t>
  </si>
  <si>
    <t>The original Tipperary probably appeared in the early 1900s, but wasn't very tasty. This balanced version with Irish whiskey, sweet vermouth, Campari, and green Chartreuse is much better.</t>
  </si>
  <si>
    <t>First published in 1876 by Jerry Thomas. Named after the Great Tom Collins Hoax of 1874, when pranksters would send people to bars asking for the non-existent "Tom Collins." Gin, lemon, and soda.</t>
  </si>
  <si>
    <t>From Difford's Guide, adapted from a recipe at Mezza9 in Singapore. Vodka and Southern Comfort are mixed with lemon juice and simple syrup for a smooth, citrusy, easy-drinking cocktail.</t>
  </si>
  <si>
    <t>Created by Dick Bradsell, who trained many of London's top bartenders. Similar to an Old Fashioned but uses dark rum instead of bourbon, with simple syrup and Angostura bitters.</t>
  </si>
  <si>
    <t>A variation of Rum and Coke created by Dale DeGroff, where bitters add complexity. Light rum, a generous amount of Angostura bitters, and cola with lime create a deeper, more nuanced highball.</t>
  </si>
  <si>
    <t>A Prohibition-era cocktail named after the "Rum Line," which prohibited alcohol consumption within 12 miles of American shores. Rum, rye, brandy, grenadine, and lemon juice.</t>
  </si>
  <si>
    <t>Dating from the 1930s, this was the house cocktail at the Vendome Club in Hollywood. Equal parts gin, Dubonnet, and dry vermouth are stirred and garnished with a lemon twist for a balanced aperitif.</t>
  </si>
  <si>
    <t>Created by James Bond in Ian Fleming's 1953 Casino Royale, named after Vesper Lynd. Gin, vodka, and Lillet Blanc are shaken together for an elegant, potent drink. Recipe credited to Ivar Bryce.</t>
  </si>
  <si>
    <t>A 1930s cocktail from New Orleans, named after the city's famed French Quarter. Cognac, rye, sweet vermouth, Benedictine, and both Angostura and Peychaud's bitters make a rich, complex classic.</t>
  </si>
  <si>
    <t>A variation of the classic Gimlet using vodka instead of gin. The neutral spirit lets the tartness of lime juice shine, balanced with simple syrup for a clean, refreshing citrus cocktail.</t>
  </si>
  <si>
    <t>Also known as a Vodkatini or Kangaroo Cocktail. Purists insist martinis must contain gin, but this iconic vodka version can be stirred or shaken à la James Bond, with olive or lemon twist.</t>
  </si>
  <si>
    <t>Invented in Boston in 1898, this cocktail is a cousin of the Whiskey Sour. Rye, lemon juice, orange juice, and grenadine are shaken and topped with a splash of soda for a fruity, balanced drink.</t>
  </si>
  <si>
    <t>A Tom Collins variation using bourbon instead of gin. Bourbon, lemon juice, and simple syrup are shaken, poured over ice, and topped with club soda for a refreshing, whiskey-forward cooler.</t>
  </si>
  <si>
    <t>First referred to in print in a Wisconsin newspaper in 1870. The sour family features a base spirit, citrus juice, and a sweetener. Bourbon, lemon juice, and simple syrup define this classic.</t>
  </si>
  <si>
    <t>Also known as a Delilah or Chelsea Sidecar, this is a Sidecar made with gin instead of brandy. Gin, triple sec, lemon juice, and egg white are shaken to produce a frothy, elegant classic.</t>
  </si>
  <si>
    <t>A lighter, more delicate take on the classic Negroni. Gin is paired with Suze gentian liqueur and Lillet Blanc instead of Campari and sweet vermouth, creating a floral, bittersweet aperitif.</t>
  </si>
  <si>
    <t>A softer variation on the White Negroni with less Suze and more Lillet Blanc. This shifts the balance toward floral and wine-like notes while retaining the gentian's subtle bitterness.</t>
  </si>
  <si>
    <t>A variation of the 1949 Black Russian, adding cream. Made famous as the favorite drink of The Dude in the 1998 Coen Brothers film The Big Lebowski, who called it a "Caucasian."</t>
  </si>
  <si>
    <t>A tailor-made cocktail recipe created and shared by a fellow home mixologist. White Penja pepper syrup adds an exotic spicy note to this gin-based Martinez variation with sweet vermouth.</t>
  </si>
  <si>
    <t>An exotic Caribbean cocktail. This sophisticated version omits the extra fruit juices of other recipes, letting light rum, lime juice, triple sec, and Galliano shine in a clean, tropical blend.</t>
  </si>
  <si>
    <t>Belle Rosé</t>
  </si>
  <si>
    <t>Belle Tampico</t>
  </si>
  <si>
    <t>A fresh and fruity summer aperitif blending Belle De Brillet pear liqueur with rosé wine and tonic. The pear's sweetness complements the dry rosé, while tonic adds a crisp effervescence.</t>
  </si>
  <si>
    <t>A long, bittersweet, and refreshing drink. Belle De Brillet pear liqueur meets Campari's bitter edge, brightened by lemon juice and lengthened with tonic water for a vibrant, citrusy aperitif.</t>
  </si>
  <si>
    <t>Belle Mimosa</t>
  </si>
  <si>
    <t>Belle IPA</t>
  </si>
  <si>
    <t>Ménage à trois</t>
  </si>
  <si>
    <t>A variation of the classic Mimosa, the star cocktail of brunches sublimated by the pear! Belle De Brillet replaces the traditional triple sec, adding fruity depth to orange juice and champagne.</t>
  </si>
  <si>
    <t>Freshness and simplicity in a glass. The sweet bitterness of IPA beer marries beautifully with the pear fruitiness of Belle De Brillet for an easy, refreshing two-ingredient beer cocktail.</t>
  </si>
  <si>
    <t>The classic Old Fashioned revisited with a fruity, spicy twist. Belle De Brillet pear liqueur, dark rum, and fresh coffee form a trio in harmony, accented by a dash of Angostura bitters.</t>
  </si>
  <si>
    <t>Jamaican Mule</t>
  </si>
  <si>
    <t>A Caribbean twist on the Moscow Mule, swapping vodka for dark rum. The rum's molasses richness pairs naturally with spicy ginger beer and fresh lime juice for a tropical, full-bodied mule.</t>
  </si>
  <si>
    <t>Dark Rum – 60 ml
Lime Juice – 15 ml
Ginger Beer – 120 ml</t>
  </si>
  <si>
    <t>description</t>
  </si>
  <si>
    <t>timesMade</t>
  </si>
  <si>
    <t>name</t>
  </si>
  <si>
    <t>ingredients</t>
  </si>
  <si>
    <t>Ingredient</t>
  </si>
  <si>
    <t>Total Quantity Used</t>
  </si>
  <si>
    <t>Unit</t>
  </si>
  <si>
    <t>Ginger Beer</t>
  </si>
  <si>
    <t>ml</t>
  </si>
  <si>
    <t>Club Soda</t>
  </si>
  <si>
    <t>Vodka</t>
  </si>
  <si>
    <t>Sparkling Wine</t>
  </si>
  <si>
    <t>Gin</t>
  </si>
  <si>
    <t>Lime Juice</t>
  </si>
  <si>
    <t>Lemon Juice</t>
  </si>
  <si>
    <t>Sparkling Water</t>
  </si>
  <si>
    <t>Simple Syrup</t>
  </si>
  <si>
    <t>Ramos Gin Fizz Mix</t>
  </si>
  <si>
    <t>Light Rum</t>
  </si>
  <si>
    <t>Belle De Brillet</t>
  </si>
  <si>
    <t>Aperol</t>
  </si>
  <si>
    <t>Old Tom Gin</t>
  </si>
  <si>
    <t>Bourbon</t>
  </si>
  <si>
    <t>Sloe Gin</t>
  </si>
  <si>
    <t>Scotch Whiskey</t>
  </si>
  <si>
    <t>Sweet Vermouth</t>
  </si>
  <si>
    <t>Triple Sec</t>
  </si>
  <si>
    <t>Egg white</t>
  </si>
  <si>
    <t>Campari</t>
  </si>
  <si>
    <t>Dark Rum</t>
  </si>
  <si>
    <t>Orange Juice</t>
  </si>
  <si>
    <t>Lillet Blanc</t>
  </si>
  <si>
    <t>Tequila Blanco</t>
  </si>
  <si>
    <t>Cream</t>
  </si>
  <si>
    <t>Rye</t>
  </si>
  <si>
    <t>Dry Vermouth</t>
  </si>
  <si>
    <t>Pisco</t>
  </si>
  <si>
    <t>Cachaca</t>
  </si>
  <si>
    <t>Orgeat Syrup</t>
  </si>
  <si>
    <t>Mezcal</t>
  </si>
  <si>
    <t>Tomato Juice</t>
  </si>
  <si>
    <t>Cranberry Juice</t>
  </si>
  <si>
    <t>Ginger Syrup</t>
  </si>
  <si>
    <t>Coffee Liqueur</t>
  </si>
  <si>
    <t>Grapefruit Juice</t>
  </si>
  <si>
    <t>Raspberry Liqueur</t>
  </si>
  <si>
    <t>Maraschino Liqueur</t>
  </si>
  <si>
    <t>Amaretto</t>
  </si>
  <si>
    <t>Irish Whiskey</t>
  </si>
  <si>
    <t>Benedictine</t>
  </si>
  <si>
    <t>Tequila</t>
  </si>
  <si>
    <t>Frangelico</t>
  </si>
  <si>
    <t>Ginger Ale</t>
  </si>
  <si>
    <t>Brandy</t>
  </si>
  <si>
    <t>St. Germain</t>
  </si>
  <si>
    <t>Mint</t>
  </si>
  <si>
    <t>leaf</t>
  </si>
  <si>
    <t>Ale</t>
  </si>
  <si>
    <t>Calvados</t>
  </si>
  <si>
    <t>Cognac</t>
  </si>
  <si>
    <t>Granulated Sugar</t>
  </si>
  <si>
    <t>g</t>
  </si>
  <si>
    <t>Orange Curacao</t>
  </si>
  <si>
    <t>Aged Rum</t>
  </si>
  <si>
    <t>Cola</t>
  </si>
  <si>
    <t>Suze</t>
  </si>
  <si>
    <t>Galliano</t>
  </si>
  <si>
    <t>Tennessee Whiskey</t>
  </si>
  <si>
    <t>Grenadine</t>
  </si>
  <si>
    <t>Green Chartreuse</t>
  </si>
  <si>
    <t>Rum</t>
  </si>
  <si>
    <t>Spiced Rum</t>
  </si>
  <si>
    <t>Tequila Reposado</t>
  </si>
  <si>
    <t>Pimm's No. 1</t>
  </si>
  <si>
    <t>Dubonnet</t>
  </si>
  <si>
    <t>Yellow Chartreuse</t>
  </si>
  <si>
    <t>Water</t>
  </si>
  <si>
    <t>Cointreau</t>
  </si>
  <si>
    <t>Angostura Bitters</t>
  </si>
  <si>
    <t>dash</t>
  </si>
  <si>
    <t>Basil Syrup</t>
  </si>
  <si>
    <t>Maple Syrup</t>
  </si>
  <si>
    <t>Pineapple Juice</t>
  </si>
  <si>
    <t>Lime</t>
  </si>
  <si>
    <t>wedge</t>
  </si>
  <si>
    <t>Lemon Peel</t>
  </si>
  <si>
    <t>count</t>
  </si>
  <si>
    <t>Coffee</t>
  </si>
  <si>
    <t>Milk</t>
  </si>
  <si>
    <t>Malouins Gin</t>
  </si>
  <si>
    <t>Bianco Vermouth</t>
  </si>
  <si>
    <t>Kalê Liqueur</t>
  </si>
  <si>
    <t>Rhum Agricole</t>
  </si>
  <si>
    <t>Creme de Cassis</t>
  </si>
  <si>
    <t>Beer</t>
  </si>
  <si>
    <t>Tonic Water</t>
  </si>
  <si>
    <t>Lemon</t>
  </si>
  <si>
    <t>Cherry</t>
  </si>
  <si>
    <t>Coffee-infused Campari</t>
  </si>
  <si>
    <t>Southern Comfort</t>
  </si>
  <si>
    <t>Candied Ginger</t>
  </si>
  <si>
    <t>Apricot Liqueur</t>
  </si>
  <si>
    <t>Orange Peel</t>
  </si>
  <si>
    <t>Bols Barrel Aged Genever</t>
  </si>
  <si>
    <t>Applejack</t>
  </si>
  <si>
    <t>Canadian Whiskey</t>
  </si>
  <si>
    <t>Spiced Red Berries Syrup</t>
  </si>
  <si>
    <t>Espresso</t>
  </si>
  <si>
    <t>Horseradish</t>
  </si>
  <si>
    <t>Paragon White Penja Pepper</t>
  </si>
  <si>
    <t>Pineau des Charentes</t>
  </si>
  <si>
    <t>Drambuie</t>
  </si>
  <si>
    <t>Honey</t>
  </si>
  <si>
    <t>Absinthe</t>
  </si>
  <si>
    <t>Peychaud's Bitters</t>
  </si>
  <si>
    <t>Irish Cream</t>
  </si>
  <si>
    <t>Blue Curacao</t>
  </si>
  <si>
    <t>Orange-Flower Water</t>
  </si>
  <si>
    <t>drop</t>
  </si>
  <si>
    <t>Brown Sugar Syrup</t>
  </si>
  <si>
    <t>quarter</t>
  </si>
  <si>
    <t>sprig</t>
  </si>
  <si>
    <t>Hot Sauce</t>
  </si>
  <si>
    <t>Amaro</t>
  </si>
  <si>
    <t>Pastis</t>
  </si>
  <si>
    <t>Orange Bitters</t>
  </si>
  <si>
    <t>Worcestershire Sauce</t>
  </si>
  <si>
    <t>Grand Marnier</t>
  </si>
  <si>
    <t>Apple Brandy</t>
  </si>
  <si>
    <t>twist</t>
  </si>
  <si>
    <t>Kahlua</t>
  </si>
  <si>
    <t>Honey Syrup</t>
  </si>
  <si>
    <t>Cucumber</t>
  </si>
  <si>
    <t>slice</t>
  </si>
  <si>
    <t>Celery Salt</t>
  </si>
  <si>
    <t>wheel</t>
  </si>
  <si>
    <t>slices</t>
  </si>
  <si>
    <t>Orange</t>
  </si>
  <si>
    <t>Basil</t>
  </si>
  <si>
    <t>Coffee Bean</t>
  </si>
  <si>
    <t>Vanilla Extract</t>
  </si>
  <si>
    <t>Sugar Cube</t>
  </si>
  <si>
    <t>dashes</t>
  </si>
  <si>
    <t>Grapefruit Peel</t>
  </si>
  <si>
    <t>Blood Orange</t>
  </si>
  <si>
    <t>Green Olive</t>
  </si>
  <si>
    <t>Salt</t>
  </si>
  <si>
    <t>pinch</t>
  </si>
  <si>
    <t>Nutmeg</t>
  </si>
  <si>
    <t>Spent Lime Hull</t>
  </si>
  <si>
    <t>ℹ️ Aggregate ingredient quantities based on each cocktail's recipe × its timesMade count</t>
  </si>
  <si>
    <t>Alcohol Consumption by Category</t>
  </si>
  <si>
    <t>Category Summary</t>
  </si>
  <si>
    <t>Category</t>
  </si>
  <si>
    <t>Total (ml)</t>
  </si>
  <si>
    <t>Total (L)</t>
  </si>
  <si>
    <t>Total (bottles ~700ml)</t>
  </si>
  <si>
    <t>Spirits</t>
  </si>
  <si>
    <t>Liqueurs</t>
  </si>
  <si>
    <t>Wines &amp; Fortified</t>
  </si>
  <si>
    <t>Bitters</t>
  </si>
  <si>
    <t>TOTAL</t>
  </si>
  <si>
    <t>Total Quantity</t>
  </si>
  <si>
    <t>Alcohol Content (ml)</t>
  </si>
  <si>
    <t>images</t>
  </si>
  <si>
    <t>ABV</t>
  </si>
  <si>
    <t>images/cocktails/abbey.jpg</t>
  </si>
  <si>
    <t>images/cocktails/adam-eve.jpg</t>
  </si>
  <si>
    <t>images/cocktails/adonis.jpg</t>
  </si>
  <si>
    <t>images/cocktails/airmail.jpg</t>
  </si>
  <si>
    <t>images/cocktails/alabama-slammer.jpg</t>
  </si>
  <si>
    <t>images/cocktails/alaska.jpg</t>
  </si>
  <si>
    <t>images/cocktails/alfonso.jpg</t>
  </si>
  <si>
    <t>images/cocktails/algonquin.jpg</t>
  </si>
  <si>
    <t>images/cocktails/amaretto-sour.jpg</t>
  </si>
  <si>
    <t>images/cocktails/american-variation.jpg</t>
  </si>
  <si>
    <t>images/cocktails/americana.jpg</t>
  </si>
  <si>
    <t>images/cocktails/americano.jpg</t>
  </si>
  <si>
    <t>images/cocktails/angostura-fizz.jpg</t>
  </si>
  <si>
    <t>images/cocktails/atlas.jpg</t>
  </si>
  <si>
    <t>images/cocktails/barlovento.jpg</t>
  </si>
  <si>
    <t>images/cocktails/bee-s-knees.jpg</t>
  </si>
  <si>
    <t>images/cocktails/belle-amande.jpg</t>
  </si>
  <si>
    <t>images/cocktails/belle-bulle.jpg</t>
  </si>
  <si>
    <t>Belle de Brillet – 40 ml 
IPA Beer – 200 ml</t>
  </si>
  <si>
    <t>images/cocktails/belle-ipa.jpg</t>
  </si>
  <si>
    <t>Belle de Brillet – 40 ml 
Orange juice – 50 ml 
Champagne – 120 ml</t>
  </si>
  <si>
    <t>images/cocktails/belle-mimosa.jpg</t>
  </si>
  <si>
    <t>Belle de Brillet – 30 ml 
Rosé wine – 80 ml 
Tonic – 100 ml</t>
  </si>
  <si>
    <t>images/cocktails/belle-rose.jpg</t>
  </si>
  <si>
    <t>images/cocktails/belle-summer.jpg</t>
  </si>
  <si>
    <t>Belle de Brillet – 40 ml 
Campari – 20 ml 
Lemon juice – 15 ml 
Tonic Water – 100 ml</t>
  </si>
  <si>
    <t>images/cocktails/belle-tampico.jpg</t>
  </si>
  <si>
    <t>images/cocktails/bennett.jpg</t>
  </si>
  <si>
    <t>images/cocktails/bentley.jpg</t>
  </si>
  <si>
    <t>images/cocktails/betsy-ross.jpg</t>
  </si>
  <si>
    <t>images/cocktails/between-the-sheets.jpg</t>
  </si>
  <si>
    <t>images/cocktails/bijou.jpg</t>
  </si>
  <si>
    <t>images/cocktails/bitter-mai-tai.jpg</t>
  </si>
  <si>
    <t>images/cocktails/black-forest.jpg</t>
  </si>
  <si>
    <t>images/cocktails/black-russian.jpg</t>
  </si>
  <si>
    <t>images/cocktails/blackthorne.jpg</t>
  </si>
  <si>
    <t>images/cocktails/bloody-mary.jpg</t>
  </si>
  <si>
    <t>images/cocktails/blue-bird.jpg</t>
  </si>
  <si>
    <t>images/cocktails/bobby-burns.jpg</t>
  </si>
  <si>
    <t>images/cocktails/bocce-ball.jpg</t>
  </si>
  <si>
    <t>images/cocktails/bols-old-fashioned.jpg</t>
  </si>
  <si>
    <t>images/cocktails/boulevardier.jpg</t>
  </si>
  <si>
    <t>images/cocktails/boulevardier-rye.jpg</t>
  </si>
  <si>
    <t>images/cocktails/brainstorm.jpg</t>
  </si>
  <si>
    <t>images/cocktails/brandy-crusta.jpg</t>
  </si>
  <si>
    <t>images/cocktails/brandy-milk-punch.jpg</t>
  </si>
  <si>
    <t>images/cocktails/brave-bull.jpg</t>
  </si>
  <si>
    <t>images/cocktails/breizh-mule.jpg</t>
  </si>
  <si>
    <t>images/cocktails/bronx.jpg</t>
  </si>
  <si>
    <t>images/cocktails/brookstone.jpg</t>
  </si>
  <si>
    <t>images/cocktails/bushwacker.jpg</t>
  </si>
  <si>
    <t>images/cocktails/buster-brown.jpg</t>
  </si>
  <si>
    <t>images/cocktails/cable-car.jpg</t>
  </si>
  <si>
    <t>images/cocktails/caipirinha.jpg</t>
  </si>
  <si>
    <t>images/cocktails/caipiroska.jpg</t>
  </si>
  <si>
    <t>images/cocktails/cameron-s-kick.jpg</t>
  </si>
  <si>
    <t>images/cocktails/cape-cod-cocktail.jpg</t>
  </si>
  <si>
    <t>images/cocktails/champagne-mojito.jpg</t>
  </si>
  <si>
    <t>images/cocktails/charlie-chaplin.jpg</t>
  </si>
  <si>
    <t>images/cocktails/chingon.jpg</t>
  </si>
  <si>
    <t>images/cocktails/christmas-moscow-mule.jpg</t>
  </si>
  <si>
    <t>images/cocktails/chrysanthemum.jpg</t>
  </si>
  <si>
    <t>images/cocktails/clipper.jpg</t>
  </si>
  <si>
    <t>images/cocktails/cloister.jpg</t>
  </si>
  <si>
    <t>images/cocktails/coffee-boulevardier.jpg</t>
  </si>
  <si>
    <t>images/cocktails/coffee-cocktail.jpg</t>
  </si>
  <si>
    <t>images/cocktails/coffee-negroni.jpg</t>
  </si>
  <si>
    <t>images/cocktails/cognac-sazerac.jpg</t>
  </si>
  <si>
    <t>images/cocktails/colorado-bulldog.jpg</t>
  </si>
  <si>
    <t>images/cocktails/corpse-reviver-2.jpg</t>
  </si>
  <si>
    <t>images/cocktails/cosmopolitan.jpg</t>
  </si>
  <si>
    <t>images/cocktails/cranberry-margarita.jpg</t>
  </si>
  <si>
    <t>images/cocktails/crux.jpg</t>
  </si>
  <si>
    <t>images/cocktails/daiquiri.jpg</t>
  </si>
  <si>
    <t>images/cocktails/daisy.jpg</t>
  </si>
  <si>
    <t>images/cocktails/darb.jpg</t>
  </si>
  <si>
    <t>images/cocktails/dark-n-stormy.jpg</t>
  </si>
  <si>
    <t>images/cocktails/death-in-the-afternoon.jpg</t>
  </si>
  <si>
    <t>images/cocktails/derby.jpg</t>
  </si>
  <si>
    <t>images/cocktails/diamondback.jpg</t>
  </si>
  <si>
    <t>images/cocktails/diplomat.jpg</t>
  </si>
  <si>
    <t>images/cocktails/division-bell.jpg</t>
  </si>
  <si>
    <t>images/cocktails/dry-rob-roy.jpg</t>
  </si>
  <si>
    <t>images/cocktails/dubonnet-cocktail.jpg</t>
  </si>
  <si>
    <t>images/cocktails/eastern-standard-soho-house-tonic.jpg</t>
  </si>
  <si>
    <t>images/cocktails/el-camino.jpg</t>
  </si>
  <si>
    <t>images/cocktails/el-diablo.jpg</t>
  </si>
  <si>
    <t>images/cocktails/el-floridita-no-1.jpg</t>
  </si>
  <si>
    <t>images/cocktails/el-presidente.jpg</t>
  </si>
  <si>
    <t>images/cocktails/elderflower-margarita.jpg</t>
  </si>
  <si>
    <t>images/cocktails/electric-kamikaze.jpg</t>
  </si>
  <si>
    <t>images/cocktails/final-ward.jpg</t>
  </si>
  <si>
    <t>images/cocktails/fourth-degree.jpg</t>
  </si>
  <si>
    <t>images/cocktails/freddie-fudpucker.jpg</t>
  </si>
  <si>
    <t>images/cocktails/french-75.jpg</t>
  </si>
  <si>
    <t>images/cocktails/garden-party.jpg</t>
  </si>
  <si>
    <t>images/cocktails/gimlet.jpg</t>
  </si>
  <si>
    <t>images/cocktails/gin-genie.jpg</t>
  </si>
  <si>
    <t>images/cocktails/gin-rickey.jpg</t>
  </si>
  <si>
    <t>images/cocktails/ginger-champagne.jpg</t>
  </si>
  <si>
    <t>images/cocktails/ginger-spritz.jpg</t>
  </si>
  <si>
    <t>images/cocktails/godfather.jpg</t>
  </si>
  <si>
    <t>images/cocktails/godmother.jpg</t>
  </si>
  <si>
    <t>images/cocktails/happy-honey.jpg</t>
  </si>
  <si>
    <t>images/cocktails/harvard-cooler.jpg</t>
  </si>
  <si>
    <t>images/cocktails/harvey-wallbanger.jpg</t>
  </si>
  <si>
    <t>images/cocktails/hemingway-daiquiri.jpg</t>
  </si>
  <si>
    <t>images/cocktails/honeymoon.jpg</t>
  </si>
  <si>
    <t>images/cocktails/hot-caipirinha.jpg</t>
  </si>
  <si>
    <t>images/cocktails/hugo-spritz.jpg</t>
  </si>
  <si>
    <t>images/cocktails/hummingbird.jpg</t>
  </si>
  <si>
    <t>images/cocktails/in-the-neighborhood.jpg</t>
  </si>
  <si>
    <t>images/cocktails/incognito.jpg</t>
  </si>
  <si>
    <t>images/cocktails/jack-rose.jpg</t>
  </si>
  <si>
    <t>images/cocktails/jacob-s-rainbow.jpg</t>
  </si>
  <si>
    <t>images/cocktails/jamaican-mule.jpg</t>
  </si>
  <si>
    <t>images/cocktails/james-joyce.jpg</t>
  </si>
  <si>
    <t>images/cocktails/jasmine.jpg</t>
  </si>
  <si>
    <t>images/cocktails/jm-amaretto-sour.jpg</t>
  </si>
  <si>
    <t>images/cocktails/jubilant.jpg</t>
  </si>
  <si>
    <t>images/cocktails/kal-sour.jpg</t>
  </si>
  <si>
    <t>images/cocktails/kamikaze.jpg</t>
  </si>
  <si>
    <t>images/cocktails/kilmoon-sour.jpg</t>
  </si>
  <si>
    <t>images/cocktails/kir-royale.jpg</t>
  </si>
  <si>
    <t>images/cocktails/la-louisiane.jpg</t>
  </si>
  <si>
    <t>images/cocktails/lagerita.jpg</t>
  </si>
  <si>
    <t>images/cocktails/last-word.jpg</t>
  </si>
  <si>
    <t>images/cocktails/leatherneck.jpg</t>
  </si>
  <si>
    <t>images/cocktails/lonely-bull.jpg</t>
  </si>
  <si>
    <t>images/cocktails/long-island-iced-tea.jpg</t>
  </si>
  <si>
    <t>images/cocktails/madras.jpg</t>
  </si>
  <si>
    <t>images/cocktails/mai-tai.jpg</t>
  </si>
  <si>
    <t>images/cocktails/mamie-taylor.jpg</t>
  </si>
  <si>
    <t>images/cocktails/manhattan.jpg</t>
  </si>
  <si>
    <t>images/cocktails/manhattan-rye.jpg</t>
  </si>
  <si>
    <t>images/cocktails/maple-bourbon-old-fashioned.jpg</t>
  </si>
  <si>
    <t>images/cocktails/maple-leaf.jpg</t>
  </si>
  <si>
    <t>images/cocktails/margarita.jpg</t>
  </si>
  <si>
    <t>images/cocktails/martini.jpg</t>
  </si>
  <si>
    <t>Belle de Brillet – 50 ml 
Dark rum – 20 ml 
Coffee – 15 ml 
Angostura Bitters – 1 dash</t>
  </si>
  <si>
    <t>images/cocktails/menage-a-trois.jpg</t>
  </si>
  <si>
    <t>images/cocktails/mezcal-negroni.jpg</t>
  </si>
  <si>
    <t>Beer– 360 ml
Cayenne Pepper
Salt
Lime Juice – 15 ml
Hot Sauce – 2 drop
Worcestershire Sauce – 2 dash
Black Pepper – 1 pinch
Celery Salt – 1 pinch
Lime – 1 wedge</t>
  </si>
  <si>
    <t>images/cocktails/michelada.jpg</t>
  </si>
  <si>
    <t>images/cocktails/milano-torino-2.jpg</t>
  </si>
  <si>
    <t>images/cocktails/mimosa.jpg</t>
  </si>
  <si>
    <t>images/cocktails/mint-julep.jpg</t>
  </si>
  <si>
    <t>images/cocktails/mojito.jpg</t>
  </si>
  <si>
    <t>Mojitosco</t>
  </si>
  <si>
    <t>Mocktail based on the famous Mojito, with Osco original as a base. Very refreshing.</t>
  </si>
  <si>
    <t>Club Soda – 60 ml 
Osco – 25 ml 
Simple Syrup – 10 ml 
Lime Juice – 10 ml 
Mint – 1 sprig</t>
  </si>
  <si>
    <t>images/cocktails/mojitosco.jpg</t>
  </si>
  <si>
    <t>images/cocktails/moscow-mule.jpg</t>
  </si>
  <si>
    <t>images/cocktails/mudslide.jpg</t>
  </si>
  <si>
    <t>images/cocktails/naked-and-famous.jpg</t>
  </si>
  <si>
    <t>images/cocktails/negroni.jpg</t>
  </si>
  <si>
    <t>images/cocktails/negroni-sbagliato.jpg</t>
  </si>
  <si>
    <t>images/cocktails/negroski.jpg</t>
  </si>
  <si>
    <t>images/cocktails/nevada.jpg</t>
  </si>
  <si>
    <t>images/cocktails/non-violette-aviation.jpg</t>
  </si>
  <si>
    <t>images/cocktails/nuts-berries.jpg</t>
  </si>
  <si>
    <t>images/cocktails/nutty-martini.jpg</t>
  </si>
  <si>
    <t>images/cocktails/oaxacan-mule.jpg</t>
  </si>
  <si>
    <t>images/cocktails/old-fashioned.jpg</t>
  </si>
  <si>
    <t>images/cocktails/oriental.jpg</t>
  </si>
  <si>
    <t>Osco Daiquiri</t>
  </si>
  <si>
    <t>Mocktail based on the classic Daiquiri, with Osco Original as a base. Interesting flavors!</t>
  </si>
  <si>
    <t>Osco – 50 ml 
Lime Juice – 20 ml 
Agave Syrup – 20 ml</t>
  </si>
  <si>
    <t>images/cocktails/oscodaiquiri.jpg</t>
  </si>
  <si>
    <t>Osco Ice Tea</t>
  </si>
  <si>
    <t>Original mocktail, with Osco Rouge Ardent as a base. Very refreshing.</t>
  </si>
  <si>
    <t>Iced Tea – 150 ml
Osco Rouge Ardent – 50 ml
Lime Juice – 20 ml
Agave Syrup – 20 ml</t>
  </si>
  <si>
    <t>images/cocktails/oscoicetea.jpg</t>
  </si>
  <si>
    <t>Osco Mule</t>
  </si>
  <si>
    <t>Mocktail based on the classic Moscow Mule, with Osco Rouge Ardent as a base.</t>
  </si>
  <si>
    <t>Ginger Beer – 80 ml
Osco Rouge Ardent – 40 ml</t>
  </si>
  <si>
    <t>images/cocktails/oscomule.jpg</t>
  </si>
  <si>
    <t>Osco Tonic</t>
  </si>
  <si>
    <t>Star mix of the Osco Original alcohol-free mix. Nice and bitter. For a sweeter version, try the Osco Daiquiri!</t>
  </si>
  <si>
    <t>Tonic water – 80 ml
Osco – 40 ml</t>
  </si>
  <si>
    <t>images/cocktails/paper-plane.jpg</t>
  </si>
  <si>
    <t>images/cocktails/penicillin.jpg</t>
  </si>
  <si>
    <t>images/cocktails/penja-22.jpg</t>
  </si>
  <si>
    <t>images/cocktails/perfect-rob-roy.jpg</t>
  </si>
  <si>
    <t>images/cocktails/pimm-s-cup.jpg</t>
  </si>
  <si>
    <t>images/cocktails/pisco-sour.jpg</t>
  </si>
  <si>
    <t>images/cocktails/pompadour.jpg</t>
  </si>
  <si>
    <t>images/cocktails/preakness.jpg</t>
  </si>
  <si>
    <t>images/cocktails/queen-bee.jpg</t>
  </si>
  <si>
    <t>images/cocktails/queen-elizabeth.jpg</t>
  </si>
  <si>
    <t>images/cocktails/rainbow-dee-lite.jpg</t>
  </si>
  <si>
    <t>images/cocktails/ramos-gin-fizz.jpg</t>
  </si>
  <si>
    <t>images/cocktails/raspberry-silver-fizz.jpg</t>
  </si>
  <si>
    <t>images/cocktails/red-eye.jpg</t>
  </si>
  <si>
    <t>images/cocktails/rhett-butler.jpg</t>
  </si>
  <si>
    <t>images/cocktails/rhum-swizzle.jpg</t>
  </si>
  <si>
    <t>images/cocktails/ricard-jaune-lemon.jpg</t>
  </si>
  <si>
    <t>images/cocktails/richmond-gimlet.jpg</t>
  </si>
  <si>
    <t>images/cocktails/rob-roy.jpg</t>
  </si>
  <si>
    <t>images/cocktails/rosita.jpg</t>
  </si>
  <si>
    <t>images/cocktails/rusty-nail.jpg</t>
  </si>
  <si>
    <t>images/cocktails/sazerac.jpg</t>
  </si>
  <si>
    <t>images/cocktails/scofflaw.jpg</t>
  </si>
  <si>
    <t>images/cocktails/screaming-orgasm.jpg</t>
  </si>
  <si>
    <t>images/cocktails/screwdriver.jpg</t>
  </si>
  <si>
    <t>images/cocktails/sea-breeze.jpg</t>
  </si>
  <si>
    <t>images/cocktails/seelbach.jpg</t>
  </si>
  <si>
    <t>images/cocktails/shandygaff.jpg</t>
  </si>
  <si>
    <t>images/cocktails/sidecar.jpg</t>
  </si>
  <si>
    <t>images/cocktails/siesta.jpg</t>
  </si>
  <si>
    <t>images/cocktails/silver-fizz.jpg</t>
  </si>
  <si>
    <t>images/cocktails/silver-monk.jpg</t>
  </si>
  <si>
    <t>images/cocktails/siphon-ramos-gin-fizz.jpg</t>
  </si>
  <si>
    <t>images/cocktails/sloe-gin-fizz.jpg</t>
  </si>
  <si>
    <t>images/cocktails/some-like-it-hot.jpg</t>
  </si>
  <si>
    <t>images/cocktails/spazerack.jpg</t>
  </si>
  <si>
    <t>images/cocktails/spritz.jpg</t>
  </si>
  <si>
    <t>images/cocktails/sweet-basil-2.jpg</t>
  </si>
  <si>
    <t>images/cocktails/tailspin.jpg</t>
  </si>
  <si>
    <t>images/cocktails/tampico.jpg</t>
  </si>
  <si>
    <t>images/cocktails/tennessee.jpg</t>
  </si>
  <si>
    <t>images/cocktails/the-end-of-the-road.jpg</t>
  </si>
  <si>
    <t>images/cocktails/the-espresso-martini.jpg</t>
  </si>
  <si>
    <t>images/cocktails/tipperary.jpg</t>
  </si>
  <si>
    <t>images/cocktails/tom-collins.jpg</t>
  </si>
  <si>
    <t>images/cocktails/too-close-for-comfort.jpg</t>
  </si>
  <si>
    <t>images/cocktails/treacle.jpg</t>
  </si>
  <si>
    <t>images/cocktails/trinidad.jpg</t>
  </si>
  <si>
    <t>images/cocktails/twelve-mile-limit.jpg</t>
  </si>
  <si>
    <t>images/cocktails/vendome.jpg</t>
  </si>
  <si>
    <t>images/cocktails/vesper.jpg</t>
  </si>
  <si>
    <t>images/cocktails/vieux-carr.jpg</t>
  </si>
  <si>
    <t>images/cocktails/vodka-gimlet.jpg</t>
  </si>
  <si>
    <t>images/cocktails/vodka-martini.jpg</t>
  </si>
  <si>
    <t>images/cocktails/ward-8.jpg</t>
  </si>
  <si>
    <t>images/cocktails/whiskey-collins.jpg</t>
  </si>
  <si>
    <t>images/cocktails/whiskey-sour.jpg</t>
  </si>
  <si>
    <t>images/cocktails/white-lady.jpg</t>
  </si>
  <si>
    <t>images/cocktails/white-negroni.jpg</t>
  </si>
  <si>
    <t>images/cocktails/white-negroni-2-less-suze.jpg</t>
  </si>
  <si>
    <t>images/cocktails/white-russian.jpg</t>
  </si>
  <si>
    <t>images/cocktails/wp-martinez.jpg</t>
  </si>
  <si>
    <t>images/cocktails/yellow-bird.jpg</t>
  </si>
  <si>
    <t>images/cocktails/oscotonic.jpg</t>
  </si>
  <si>
    <t>Seedlip Cosmo</t>
  </si>
  <si>
    <t>A sophisticated and refreshing non-alcoholic cocktail experience . At its core is Seedlip Grove 42, that delivers a zesty, citrus-forward profile with notes of bitter orange, complemented by a dry lemongrass finish.</t>
  </si>
  <si>
    <t>Seedlip Grove 42 – 40 ml
Cranberry Juice – 20 ml
Lime Juice – 10 ml
Simple Syrup – 10 ml</t>
  </si>
  <si>
    <t>images/cocktails/seedlipcosmo.jpg</t>
  </si>
  <si>
    <t>Seedlip Tonic</t>
  </si>
  <si>
    <t>A non-alcoholic tonic with Seedlip 42, a zesty, citrus blend made using oranges, lemons, ginger, and lemongrass. A cool prickle of Japanese sansho peppercorn gives this non-alcoholic spirit a bright, dry finish.</t>
  </si>
  <si>
    <t>Seedlip Grove 42 – 50 ml
Tonic Water – 100 ml</t>
  </si>
  <si>
    <t>images/cocktails/seedliptonic.jpg</t>
  </si>
  <si>
    <t>Spritz Averna</t>
  </si>
  <si>
    <t>A Spritz version with Averna, an Italian liqueur in the amaro category produced in Caltanissetta, Italy</t>
  </si>
  <si>
    <t>Averna – 40 ml
Sparkling Wine – 60 ml
Club Soda – 20 ml</t>
  </si>
  <si>
    <t>images/cocktails/spritzaverna.jpg</t>
  </si>
  <si>
    <t>Spritz Campari</t>
  </si>
  <si>
    <t>A Spritz version with Campari, the famous Italian bitter characterised by its dark red colour</t>
  </si>
  <si>
    <t>Campari – 40 ml
Sparkling Wine – 60 ml
Club Soda – 20 ml</t>
  </si>
  <si>
    <t>images/cocktails/spritzcampari.jpg</t>
  </si>
  <si>
    <t>Spritz Cynar</t>
  </si>
  <si>
    <t>A Spritz version with Cynar, an Italian bitter apéritif of the amaro variety. It is made from 13 herbs and plants, predominantly artichoke (Cynara scolymus), from which the drink derives its name</t>
  </si>
  <si>
    <t>Cynar – 40 ml
Sparkling Wine – 60 ml
Club Soda – 20 ml</t>
  </si>
  <si>
    <t>images/cocktails/spritzcynar.jpg</t>
  </si>
  <si>
    <t>Spritz Immortelle</t>
  </si>
  <si>
    <t>A Spritz version with Spritz des Dunes, a bitter from Corsica with Immortelle flowers</t>
  </si>
  <si>
    <t>Spritz des Dunes – 40 ml
Sparkling Wine – 60 ml
Club Soda – 20 ml</t>
  </si>
  <si>
    <t>images/cocktails/spritzimmortelle.jpg</t>
  </si>
  <si>
    <t>Spritz Italicus</t>
  </si>
  <si>
    <t>A Spritz version with Italicus, a bergamot rosolio (a type of aperitivo) manufactured in Italy. The liqueur uses bergamot from Calabria and citrons from Sicily, along with Italian flower varieties.</t>
  </si>
  <si>
    <t>Italicus – 40 ml
Sparkling Wine – 60 ml
Club Soda – 20 ml</t>
  </si>
  <si>
    <t>images/cocktails/spritzitalicus.jpg</t>
  </si>
  <si>
    <t>Spritz Select</t>
  </si>
  <si>
    <t>A Spritz version with Select, an original Venetian aperitivo crafted with 30 botanicals including juniper berries and rhubarb root for a refined harmony of bitter, floral, and citrus notes.</t>
  </si>
  <si>
    <t>Select – 40 ml
Sparkling Wine – 60 ml
Club Soda – 20 ml</t>
  </si>
  <si>
    <t>images/cocktails/spritzselect.jpg</t>
  </si>
  <si>
    <t>Spritz St Germain (Hugo)</t>
  </si>
  <si>
    <t>Spritz Limoncello</t>
  </si>
  <si>
    <t>A Spritz version with Limoncello, a liqueur made from the zest of lemons.</t>
  </si>
  <si>
    <t>Lilmoncello – 40 ml
Sparkling Wine – 60 ml
Club Soda – 20 ml</t>
  </si>
  <si>
    <t>images/cocktails/spritzlimoncello.jpg</t>
  </si>
  <si>
    <t>Spritz Sarti Rosa</t>
  </si>
  <si>
    <t>A Spritz version with Sarti Rosa, an aperitivo crafted with blood orange, mango and passion fruit.</t>
  </si>
  <si>
    <t>Sarti Rosa – 40 ml
Sparkling Wine – 60 ml
Club Soda – 20 ml 
Lime juice – 5 ml</t>
  </si>
  <si>
    <t>images/cocktails/spritzsartirosa.jpg</t>
  </si>
  <si>
    <t>ABV %</t>
  </si>
  <si>
    <t>Note: ABV % values are standard/typical bottle strengths used to recompute each cocktail's Alcohol Content (ml) and ABV. Verify against your actual bottles where precision matters.</t>
  </si>
  <si>
    <t>Spritz-only liqueurs (used in Cocktails!F/G formulas, not tracked above)</t>
  </si>
  <si>
    <t>Averna</t>
  </si>
  <si>
    <t>Cynar</t>
  </si>
  <si>
    <t>Italicus</t>
  </si>
  <si>
    <t>Sarti Rosa</t>
  </si>
  <si>
    <t>Select</t>
  </si>
  <si>
    <t>Spritz des Dunes</t>
  </si>
  <si>
    <t>Lilmoncello</t>
  </si>
  <si>
    <t>The Elderflower Collins</t>
  </si>
  <si>
    <t>A Tom Collins variation using Vodka as a spirit and St Germain for the sweet touch. Very refreshing cooler.</t>
  </si>
  <si>
    <t>Vodka – 50 ml
Lemon Juice – 30 ml
St Germain – 20 ml
Club Soda – 150 ml
Lemon – 2 wheels</t>
  </si>
  <si>
    <t>images/cocktails/elderflowercollins.jpg</t>
  </si>
  <si>
    <t>St Germain</t>
  </si>
  <si>
    <t>The Sea Breeze</t>
  </si>
  <si>
    <t>Pegu Club</t>
  </si>
  <si>
    <t>The signature drink of the Pegu Club, a long closed gentlemen's club in Rangoon, Burma. The cocktail is now served at the Pegu Club bar in New York City's SoHo district.</t>
  </si>
  <si>
    <t>Gin – 52 ml
Triple Sec – 22 ml
Lime Juice – 15 ml
Orange Bitters – 1 dash
Angostura Bitters – 1 dash</t>
  </si>
  <si>
    <t>images/cocktails/pegu-club.jpg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</si>
</sst>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17" x14ac:knownFonts="1">
    <font>
      <sz val="11"/>
      <color theme="1"/>
      <name val="Calibri"/>
      <family val="2"/>
      <scheme val="minor"/>
    </font>
    <font>
      <sz val="11"/>
      <color theme="1"/>
      <name val="Calibri"/>
      <family val="2"/>
    </font>
    <font>
      <sz val="11"/>
      <color theme="1"/>
      <name val="Calibri"/>
      <family val="2"/>
    </font>
    <font>
      <b/>
      <sz val="11"/>
      <color rgb="FFFFFFFF"/>
      <name val="Calibri"/>
      <family val="2"/>
    </font>
    <font>
      <b/>
      <sz val="11"/>
      <color theme="1"/>
      <name val="Calibri"/>
      <family val="2"/>
      <scheme val="minor"/>
    </font>
    <font>
      <b/>
      <sz val="11"/>
      <color rgb="FFFFFFFF"/>
      <name val="Calibri"/>
      <family val="2"/>
      <scheme val="minor"/>
    </font>
    <font>
      <b/>
      <i/>
      <sz val="11"/>
      <color rgb="FF666666"/>
      <name val="Calibri"/>
      <family val="2"/>
      <scheme val="minor"/>
    </font>
    <font>
      <b/>
      <sz val="14"/>
      <color theme="1"/>
      <name val="Calibri"/>
      <family val="2"/>
      <scheme val="minor"/>
    </font>
    <font>
      <b/>
      <sz val="12"/>
      <color theme="1"/>
      <name val="Calibri"/>
      <family val="2"/>
      <scheme val="minor"/>
    </font>
    <font>
      <b/>
      <sz val="11"/>
      <color theme="1"/>
      <name val="Calibri"/>
      <family val="2"/>
    </font>
    <font>
      <sz val="10"/>
      <color theme="1"/>
      <name val="Arial"/>
      <family val="2"/>
    </font>
    <font>
      <b/>
      <sz val="11"/>
      <color rgb="FF000000"/>
      <name val="Calibri"/>
      <family val="2"/>
      <scheme val="minor"/>
    </font>
    <font>
      <sz val="11"/>
      <color rgb="FF0000FF"/>
      <name val="Calibri"/>
      <family val="2"/>
      <scheme val="minor"/>
    </font>
    <font>
      <i/>
      <sz val="9"/>
      <color rgb="FF666666"/>
      <name val="Calibri"/>
      <family val="2"/>
      <scheme val="minor"/>
    </font>
    <font>
      <sz val="9"/>
      <color indexed="81"/>
      <name val="Tahoma"/>
      <family val="2"/>
    </font>
    <font>
      <b/>
      <sz val="9"/>
      <color indexed="81"/>
      <name val="Tahoma"/>
      <family val="2"/>
    </font>
    <font>
      <sz val="11"/>
      <color rgb="FF008000"/>
      <name val="Calibri"/>
      <family val="2"/>
    </font>
  </fonts>
  <fills count="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1F4E78"/>
        <bgColor indexed="64"/>
      </patternFill>
    </fill>
    <fill>
      <patternFill patternType="solid">
        <fgColor rgb="FFDCE6F1"/>
        <bgColor indexed="64"/>
      </patternFill>
    </fill>
  </fills>
  <borders count="9">
    <border>
      <left/>
      <right/>
      <top/>
      <bottom/>
      <diagonal/>
    </border>
    <border>
      <left/>
      <right/>
      <top style="thin">
        <color auto="1"/>
      </top>
      <bottom/>
      <diagonal/>
    </border>
    <border>
      <left style="medium">
        <color rgb="FF95B3D7"/>
      </left>
      <right style="medium">
        <color rgb="FFCCCCCC"/>
      </right>
      <top style="medium">
        <color rgb="FF95B3D7"/>
      </top>
      <bottom style="medium">
        <color rgb="FF95B3D7"/>
      </bottom>
      <diagonal/>
    </border>
    <border>
      <left style="medium">
        <color rgb="FFCCCCCC"/>
      </left>
      <right style="medium">
        <color rgb="FFCCCCCC"/>
      </right>
      <top style="medium">
        <color rgb="FF95B3D7"/>
      </top>
      <bottom style="medium">
        <color rgb="FF95B3D7"/>
      </bottom>
      <diagonal/>
    </border>
    <border>
      <left style="medium">
        <color rgb="FFCCCCCC"/>
      </left>
      <right style="medium">
        <color rgb="FF95B3D7"/>
      </right>
      <top style="medium">
        <color rgb="FF95B3D7"/>
      </top>
      <bottom style="medium">
        <color rgb="FF95B3D7"/>
      </bottom>
      <diagonal/>
    </border>
    <border>
      <left style="medium">
        <color rgb="FFCCCCCC"/>
      </left>
      <right style="medium">
        <color rgb="FFCCCCCC"/>
      </right>
      <top style="medium">
        <color rgb="FFCCCCCC"/>
      </top>
      <bottom style="medium">
        <color rgb="FFCCCCCC"/>
      </bottom>
      <diagonal/>
    </border>
    <border>
      <left style="medium">
        <color rgb="FF95B3D7"/>
      </left>
      <right style="medium">
        <color rgb="FFCCCCCC"/>
      </right>
      <top style="medium">
        <color rgb="FFCCCCCC"/>
      </top>
      <bottom style="medium">
        <color rgb="FF95B3D7"/>
      </bottom>
      <diagonal/>
    </border>
    <border>
      <left style="medium">
        <color rgb="FFCCCCCC"/>
      </left>
      <right style="medium">
        <color rgb="FFCCCCCC"/>
      </right>
      <top style="medium">
        <color rgb="FFCCCCCC"/>
      </top>
      <bottom style="medium">
        <color rgb="FF95B3D7"/>
      </bottom>
      <diagonal/>
    </border>
    <border>
      <left style="medium">
        <color rgb="FFCCCCCC"/>
      </left>
      <right style="medium">
        <color rgb="FF95B3D7"/>
      </right>
      <top style="medium">
        <color rgb="FFCCCCCC"/>
      </top>
      <bottom style="medium">
        <color rgb="FF95B3D7"/>
      </bottom>
      <diagonal/>
    </border>
  </borders>
  <cellStyleXfs count="1">
    <xf numFmtId="0" fontId="0" fillId="0" borderId="0"/>
  </cellStyleXfs>
  <cellXfs count="37">
    <xf numFmtId="0" fontId="0" fillId="0" borderId="0" xfId="0"/>
    <xf numFmtId="0" fontId="5" fillId="2" borderId="0" xfId="0" applyFont="1" applyFill="1"/>
    <xf numFmtId="164" fontId="0" fillId="0" borderId="0" xfId="0" applyNumberFormat="1"/>
    <xf numFmtId="0" fontId="6" fillId="2" borderId="0" xfId="0" applyFont="1" applyFill="1"/>
    <xf numFmtId="0" fontId="7" fillId="0" borderId="0" xfId="0" applyFont="1"/>
    <xf numFmtId="0" fontId="8" fillId="0" borderId="0" xfId="0" applyFont="1"/>
    <xf numFmtId="0" fontId="4" fillId="0" borderId="1" xfId="0" applyFont="1" applyBorder="1"/>
    <xf numFmtId="3" fontId="0" fillId="0" borderId="0" xfId="0" applyNumberFormat="1"/>
    <xf numFmtId="3" fontId="4" fillId="0" borderId="1" xfId="0" applyNumberFormat="1" applyFont="1" applyBorder="1"/>
    <xf numFmtId="165" fontId="0" fillId="0" borderId="0" xfId="0" applyNumberFormat="1"/>
    <xf numFmtId="165" fontId="4" fillId="0" borderId="1" xfId="0" applyNumberFormat="1" applyFont="1" applyBorder="1"/>
    <xf numFmtId="0" fontId="4" fillId="3" borderId="0" xfId="0" applyFont="1" applyFill="1"/>
    <xf numFmtId="0" fontId="3" fillId="4" borderId="2" xfId="0" applyFont="1" applyFill="1" applyBorder="1" applyAlignment="1">
      <alignment horizontal="center" wrapText="1"/>
    </xf>
    <xf numFmtId="0" fontId="3" fillId="4" borderId="3" xfId="0" applyFont="1" applyFill="1" applyBorder="1" applyAlignment="1">
      <alignment horizontal="center" wrapText="1"/>
    </xf>
    <xf numFmtId="0" fontId="3" fillId="4" borderId="4" xfId="0" applyFont="1" applyFill="1" applyBorder="1" applyAlignment="1">
      <alignment horizontal="center" wrapText="1"/>
    </xf>
    <xf numFmtId="0" fontId="10" fillId="0" borderId="5" xfId="0" applyFont="1" applyBorder="1" applyAlignment="1">
      <alignment wrapText="1"/>
    </xf>
    <xf numFmtId="0" fontId="9" fillId="5" borderId="6" xfId="0" applyFont="1" applyFill="1" applyBorder="1" applyAlignment="1">
      <alignment vertical="top" wrapText="1"/>
    </xf>
    <xf numFmtId="0" fontId="9" fillId="0" borderId="6" xfId="0" applyFont="1" applyBorder="1" applyAlignment="1">
      <alignment vertical="top" wrapText="1"/>
    </xf>
    <xf numFmtId="0" fontId="2" fillId="5" borderId="7" xfId="0" applyFont="1" applyFill="1" applyBorder="1" applyAlignment="1">
      <alignment vertical="top" wrapText="1"/>
    </xf>
    <xf numFmtId="0" fontId="2" fillId="5" borderId="7" xfId="0" applyFont="1" applyFill="1" applyBorder="1" applyAlignment="1">
      <alignment horizontal="right" vertical="top" wrapText="1"/>
    </xf>
    <xf numFmtId="0" fontId="2" fillId="5" borderId="8" xfId="0" applyFont="1" applyFill="1" applyBorder="1" applyAlignment="1">
      <alignment vertical="top" wrapText="1"/>
    </xf>
    <xf numFmtId="0" fontId="2" fillId="5" borderId="8" xfId="0" applyFont="1" applyFill="1" applyBorder="1" applyAlignment="1">
      <alignment horizontal="right" vertical="top" wrapText="1"/>
    </xf>
    <xf numFmtId="0" fontId="2" fillId="0" borderId="7" xfId="0" applyFont="1" applyBorder="1" applyAlignment="1">
      <alignment vertical="top" wrapText="1"/>
    </xf>
    <xf numFmtId="0" fontId="2" fillId="0" borderId="7" xfId="0" applyFont="1" applyBorder="1" applyAlignment="1">
      <alignment horizontal="right" vertical="top" wrapText="1"/>
    </xf>
    <xf numFmtId="0" fontId="2" fillId="0" borderId="8" xfId="0" applyFont="1" applyBorder="1" applyAlignment="1">
      <alignment vertical="top" wrapText="1"/>
    </xf>
    <xf numFmtId="0" fontId="2" fillId="0" borderId="8" xfId="0" applyFont="1" applyBorder="1" applyAlignment="1">
      <alignment horizontal="right" vertical="top" wrapText="1"/>
    </xf>
    <xf numFmtId="0" fontId="11" fillId="3" borderId="0" xfId="0" applyFont="1" applyFill="1"/>
    <xf numFmtId="166" fontId="12" fillId="0" borderId="0" xfId="0" applyNumberFormat="1" applyFont="1"/>
    <xf numFmtId="0" fontId="13" fillId="0" borderId="0" xfId="0" applyFont="1"/>
    <xf numFmtId="0" fontId="4" fillId="0" borderId="0" xfId="0" applyFont="1"/>
    <xf numFmtId="0" fontId="16" fillId="0" borderId="8" xfId="0" applyFont="1" applyBorder="1" applyAlignment="1">
      <alignment horizontal="right" vertical="top" wrapText="1"/>
    </xf>
    <xf numFmtId="0" fontId="9" fillId="5" borderId="2" xfId="0" applyFont="1" applyFill="1" applyBorder="1" applyAlignment="1">
      <alignment vertical="top" wrapText="1"/>
    </xf>
    <xf numFmtId="0" fontId="2" fillId="5" borderId="3" xfId="0" applyFont="1" applyFill="1" applyBorder="1" applyAlignment="1">
      <alignment vertical="top" wrapText="1"/>
    </xf>
    <xf numFmtId="0" fontId="2" fillId="5" borderId="3" xfId="0" applyFont="1" applyFill="1" applyBorder="1" applyAlignment="1">
      <alignment horizontal="right" vertical="top" wrapText="1"/>
    </xf>
    <xf numFmtId="0" fontId="2" fillId="0" borderId="8" xfId="0" applyFont="1" applyBorder="1" applyAlignment="1">
      <alignment vertical="center"/>
    </xf>
    <xf numFmtId="0" fontId="1" fillId="0" borderId="7" xfId="0" applyFont="1" applyBorder="1" applyAlignment="1">
      <alignment vertical="top" wrapText="1"/>
    </xf>
    <xf numFmtId="0" fontId="1" fillId="0" borderId="8"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53CE07-B9BC-40CE-A1DC-0F9F8CA115EA}">
  <we:reference id="wa200009404" version="1.0.0.8" store="en-US" storeType="OMEX"/>
  <we:alternateReferences>
    <we:reference id="WA200009404" version="1.0.0.8" store="" storeType="OMEX"/>
  </we:alternateReferences>
  <we:properties>
    <we:property name="claude.fileId" value="&quot;44f09ac1-a6f9-4671-a0ee-b81fce7a7e7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tabSelected="1" topLeftCell="A157" workbookViewId="0">
      <selection activeCell="B161" sqref="B161"/>
    </sheetView>
  </sheetViews>
  <sheetFormatPr defaultRowHeight="15" x14ac:dyDescent="0.25"/>
  <cols>
    <col min="1" max="1" width="28" customWidth="1"/>
    <col min="2" max="2" width="70" customWidth="1"/>
    <col min="3" max="3" width="42" customWidth="1"/>
    <col min="4" max="4" width="12" customWidth="1"/>
    <col min="5" max="5" width="32" customWidth="1"/>
    <col min="6" max="6" width="8.140625" bestFit="1" customWidth="1"/>
    <col min="7" max="7" width="6.7109375" bestFit="1" customWidth="1"/>
  </cols>
  <sheetData>
    <row r="1" spans="1:26" ht="45.75" thickBot="1" x14ac:dyDescent="0.3">
      <c r="A1" s="12" t="s">
        <v>647</v>
      </c>
      <c r="B1" s="13" t="s">
        <v>645</v>
      </c>
      <c r="C1" s="13" t="s">
        <v>648</v>
      </c>
      <c r="D1" s="13" t="s">
        <v>646</v>
      </c>
      <c r="E1" s="14" t="s">
        <v>809</v>
      </c>
      <c r="F1" s="14" t="s">
        <v>808</v>
      </c>
      <c r="G1" s="14" t="s">
        <v>810</v>
      </c>
      <c r="H1" s="15"/>
      <c r="I1" s="15"/>
      <c r="J1" s="15"/>
      <c r="K1" s="15"/>
      <c r="L1" s="15"/>
      <c r="M1" s="15"/>
      <c r="N1" s="15"/>
      <c r="O1" s="15"/>
      <c r="P1" s="15"/>
      <c r="Q1" s="15"/>
      <c r="R1" s="15"/>
      <c r="S1" s="15"/>
      <c r="T1" s="15"/>
      <c r="U1" s="15"/>
      <c r="V1" s="15"/>
      <c r="W1" s="15"/>
      <c r="X1" s="15"/>
      <c r="Y1" s="15"/>
      <c r="Z1" s="15"/>
    </row>
    <row r="2" spans="1:26" ht="75.75" thickBot="1" x14ac:dyDescent="0.3">
      <c r="A2" s="16" t="s">
        <v>0</v>
      </c>
      <c r="B2" s="18" t="s">
        <v>422</v>
      </c>
      <c r="C2" s="18" t="s">
        <v>1</v>
      </c>
      <c r="D2" s="19">
        <v>8</v>
      </c>
      <c r="E2" s="20" t="s">
        <v>811</v>
      </c>
      <c r="F2" s="21">
        <v>21.4</v>
      </c>
      <c r="G2" s="21">
        <v>0.252</v>
      </c>
      <c r="H2" s="15"/>
      <c r="I2" s="15"/>
      <c r="J2" s="15"/>
      <c r="K2" s="15"/>
      <c r="L2" s="15"/>
      <c r="M2" s="15"/>
      <c r="N2" s="15"/>
      <c r="O2" s="15"/>
      <c r="P2" s="15"/>
      <c r="Q2" s="15"/>
      <c r="R2" s="15"/>
      <c r="S2" s="15"/>
      <c r="T2" s="15"/>
      <c r="U2" s="15"/>
      <c r="V2" s="15"/>
      <c r="W2" s="15"/>
      <c r="X2" s="15"/>
      <c r="Y2" s="15"/>
      <c r="Z2" s="15"/>
    </row>
    <row r="3" spans="1:26" ht="60.75" thickBot="1" x14ac:dyDescent="0.3">
      <c r="A3" s="17" t="s">
        <v>2</v>
      </c>
      <c r="B3" s="22" t="s">
        <v>423</v>
      </c>
      <c r="C3" s="22" t="s">
        <v>3</v>
      </c>
      <c r="D3" s="23">
        <v>5</v>
      </c>
      <c r="E3" s="24" t="s">
        <v>812</v>
      </c>
      <c r="F3" s="25">
        <v>30.4</v>
      </c>
      <c r="G3" s="25">
        <v>0.371</v>
      </c>
      <c r="H3" s="15"/>
      <c r="I3" s="15"/>
      <c r="J3" s="15"/>
      <c r="K3" s="15"/>
      <c r="L3" s="15"/>
      <c r="M3" s="15"/>
      <c r="N3" s="15"/>
      <c r="O3" s="15"/>
      <c r="P3" s="15"/>
      <c r="Q3" s="15"/>
      <c r="R3" s="15"/>
      <c r="S3" s="15"/>
      <c r="T3" s="15"/>
      <c r="U3" s="15"/>
      <c r="V3" s="15"/>
      <c r="W3" s="15"/>
      <c r="X3" s="15"/>
      <c r="Y3" s="15"/>
      <c r="Z3" s="15"/>
    </row>
    <row r="4" spans="1:26" ht="60.75" thickBot="1" x14ac:dyDescent="0.3">
      <c r="A4" s="16" t="s">
        <v>4</v>
      </c>
      <c r="B4" s="18" t="s">
        <v>5</v>
      </c>
      <c r="C4" s="18" t="s">
        <v>6</v>
      </c>
      <c r="D4" s="19">
        <v>0</v>
      </c>
      <c r="E4" s="20" t="s">
        <v>813</v>
      </c>
      <c r="F4" s="21">
        <v>10.9</v>
      </c>
      <c r="G4" s="21">
        <v>0.16800000000000001</v>
      </c>
      <c r="H4" s="15"/>
      <c r="I4" s="15"/>
      <c r="J4" s="15"/>
      <c r="K4" s="15"/>
      <c r="L4" s="15"/>
      <c r="M4" s="15"/>
      <c r="N4" s="15"/>
      <c r="O4" s="15"/>
      <c r="P4" s="15"/>
      <c r="Q4" s="15"/>
      <c r="R4" s="15"/>
      <c r="S4" s="15"/>
      <c r="T4" s="15"/>
      <c r="U4" s="15"/>
      <c r="V4" s="15"/>
      <c r="W4" s="15"/>
      <c r="X4" s="15"/>
      <c r="Y4" s="15"/>
      <c r="Z4" s="15"/>
    </row>
    <row r="5" spans="1:26" ht="60.75" thickBot="1" x14ac:dyDescent="0.3">
      <c r="A5" s="17" t="s">
        <v>7</v>
      </c>
      <c r="B5" s="22" t="s">
        <v>424</v>
      </c>
      <c r="C5" s="22" t="s">
        <v>8</v>
      </c>
      <c r="D5" s="23">
        <v>3</v>
      </c>
      <c r="E5" s="24" t="s">
        <v>814</v>
      </c>
      <c r="F5" s="25">
        <v>42</v>
      </c>
      <c r="G5" s="25">
        <v>0.183</v>
      </c>
      <c r="H5" s="15"/>
      <c r="I5" s="15"/>
      <c r="J5" s="15"/>
      <c r="K5" s="15"/>
      <c r="L5" s="15"/>
      <c r="M5" s="15"/>
      <c r="N5" s="15"/>
      <c r="O5" s="15"/>
      <c r="P5" s="15"/>
      <c r="Q5" s="15"/>
      <c r="R5" s="15"/>
      <c r="S5" s="15"/>
      <c r="T5" s="15"/>
      <c r="U5" s="15"/>
      <c r="V5" s="15"/>
      <c r="W5" s="15"/>
      <c r="X5" s="15"/>
      <c r="Y5" s="15"/>
      <c r="Z5" s="15"/>
    </row>
    <row r="6" spans="1:26" ht="90.75" thickBot="1" x14ac:dyDescent="0.3">
      <c r="A6" s="16" t="s">
        <v>9</v>
      </c>
      <c r="B6" s="18" t="s">
        <v>425</v>
      </c>
      <c r="C6" s="18" t="s">
        <v>10</v>
      </c>
      <c r="D6" s="19">
        <v>0</v>
      </c>
      <c r="E6" s="20" t="s">
        <v>815</v>
      </c>
      <c r="F6" s="21">
        <v>27.5</v>
      </c>
      <c r="G6" s="21">
        <v>0.246</v>
      </c>
      <c r="H6" s="15"/>
      <c r="I6" s="15"/>
      <c r="J6" s="15"/>
      <c r="K6" s="15"/>
      <c r="L6" s="15"/>
      <c r="M6" s="15"/>
      <c r="N6" s="15"/>
      <c r="O6" s="15"/>
      <c r="P6" s="15"/>
      <c r="Q6" s="15"/>
      <c r="R6" s="15"/>
      <c r="S6" s="15"/>
      <c r="T6" s="15"/>
      <c r="U6" s="15"/>
      <c r="V6" s="15"/>
      <c r="W6" s="15"/>
      <c r="X6" s="15"/>
      <c r="Y6" s="15"/>
      <c r="Z6" s="15"/>
    </row>
    <row r="7" spans="1:26" ht="45.75" thickBot="1" x14ac:dyDescent="0.3">
      <c r="A7" s="17" t="s">
        <v>11</v>
      </c>
      <c r="B7" s="22" t="s">
        <v>426</v>
      </c>
      <c r="C7" s="22" t="s">
        <v>12</v>
      </c>
      <c r="D7" s="23">
        <v>1</v>
      </c>
      <c r="E7" s="24" t="s">
        <v>816</v>
      </c>
      <c r="F7" s="25">
        <v>30</v>
      </c>
      <c r="G7" s="25">
        <v>0.4</v>
      </c>
      <c r="H7" s="15"/>
      <c r="I7" s="15"/>
      <c r="J7" s="15"/>
      <c r="K7" s="15"/>
      <c r="L7" s="15"/>
      <c r="M7" s="15"/>
      <c r="N7" s="15"/>
      <c r="O7" s="15"/>
      <c r="P7" s="15"/>
      <c r="Q7" s="15"/>
      <c r="R7" s="15"/>
      <c r="S7" s="15"/>
      <c r="T7" s="15"/>
      <c r="U7" s="15"/>
      <c r="V7" s="15"/>
      <c r="W7" s="15"/>
      <c r="X7" s="15"/>
      <c r="Y7" s="15"/>
      <c r="Z7" s="15"/>
    </row>
    <row r="8" spans="1:26" ht="60.75" thickBot="1" x14ac:dyDescent="0.3">
      <c r="A8" s="16" t="s">
        <v>13</v>
      </c>
      <c r="B8" s="18" t="s">
        <v>427</v>
      </c>
      <c r="C8" s="18" t="s">
        <v>14</v>
      </c>
      <c r="D8" s="19">
        <v>1</v>
      </c>
      <c r="E8" s="20" t="s">
        <v>817</v>
      </c>
      <c r="F8" s="21">
        <v>16.600000000000001</v>
      </c>
      <c r="G8" s="21">
        <v>0.123</v>
      </c>
      <c r="H8" s="15"/>
      <c r="I8" s="15"/>
      <c r="J8" s="15"/>
      <c r="K8" s="15"/>
      <c r="L8" s="15"/>
      <c r="M8" s="15"/>
      <c r="N8" s="15"/>
      <c r="O8" s="15"/>
      <c r="P8" s="15"/>
      <c r="Q8" s="15"/>
      <c r="R8" s="15"/>
      <c r="S8" s="15"/>
      <c r="T8" s="15"/>
      <c r="U8" s="15"/>
      <c r="V8" s="15"/>
      <c r="W8" s="15"/>
      <c r="X8" s="15"/>
      <c r="Y8" s="15"/>
      <c r="Z8" s="15"/>
    </row>
    <row r="9" spans="1:26" ht="60.75" thickBot="1" x14ac:dyDescent="0.3">
      <c r="A9" s="17" t="s">
        <v>15</v>
      </c>
      <c r="B9" s="22" t="s">
        <v>428</v>
      </c>
      <c r="C9" s="22" t="s">
        <v>16</v>
      </c>
      <c r="D9" s="23">
        <v>0</v>
      </c>
      <c r="E9" s="24" t="s">
        <v>818</v>
      </c>
      <c r="F9" s="25">
        <v>29.4</v>
      </c>
      <c r="G9" s="25">
        <v>0.245</v>
      </c>
      <c r="H9" s="15"/>
      <c r="I9" s="15"/>
      <c r="J9" s="15"/>
      <c r="K9" s="15"/>
      <c r="L9" s="15"/>
      <c r="M9" s="15"/>
      <c r="N9" s="15"/>
      <c r="O9" s="15"/>
      <c r="P9" s="15"/>
      <c r="Q9" s="15"/>
      <c r="R9" s="15"/>
      <c r="S9" s="15"/>
      <c r="T9" s="15"/>
      <c r="U9" s="15"/>
      <c r="V9" s="15"/>
      <c r="W9" s="15"/>
      <c r="X9" s="15"/>
      <c r="Y9" s="15"/>
      <c r="Z9" s="15"/>
    </row>
    <row r="10" spans="1:26" ht="60.75" thickBot="1" x14ac:dyDescent="0.3">
      <c r="A10" s="16" t="s">
        <v>17</v>
      </c>
      <c r="B10" s="18" t="s">
        <v>429</v>
      </c>
      <c r="C10" s="18" t="s">
        <v>18</v>
      </c>
      <c r="D10" s="19">
        <v>5</v>
      </c>
      <c r="E10" s="20" t="s">
        <v>819</v>
      </c>
      <c r="F10" s="21">
        <v>16.8</v>
      </c>
      <c r="G10" s="21">
        <v>0.187</v>
      </c>
      <c r="H10" s="15"/>
      <c r="I10" s="15"/>
      <c r="J10" s="15"/>
      <c r="K10" s="15"/>
      <c r="L10" s="15"/>
      <c r="M10" s="15"/>
      <c r="N10" s="15"/>
      <c r="O10" s="15"/>
      <c r="P10" s="15"/>
      <c r="Q10" s="15"/>
      <c r="R10" s="15"/>
      <c r="S10" s="15"/>
      <c r="T10" s="15"/>
      <c r="U10" s="15"/>
      <c r="V10" s="15"/>
      <c r="W10" s="15"/>
      <c r="X10" s="15"/>
      <c r="Y10" s="15"/>
      <c r="Z10" s="15"/>
    </row>
    <row r="11" spans="1:26" ht="90.75" thickBot="1" x14ac:dyDescent="0.3">
      <c r="A11" s="17" t="s">
        <v>19</v>
      </c>
      <c r="B11" s="22" t="s">
        <v>430</v>
      </c>
      <c r="C11" s="22" t="s">
        <v>20</v>
      </c>
      <c r="D11" s="23">
        <v>1</v>
      </c>
      <c r="E11" s="24" t="s">
        <v>820</v>
      </c>
      <c r="F11" s="25">
        <v>36</v>
      </c>
      <c r="G11" s="25">
        <v>0.4</v>
      </c>
      <c r="H11" s="15"/>
      <c r="I11" s="15"/>
      <c r="J11" s="15"/>
      <c r="K11" s="15"/>
      <c r="L11" s="15"/>
      <c r="M11" s="15"/>
      <c r="N11" s="15"/>
      <c r="O11" s="15"/>
      <c r="P11" s="15"/>
      <c r="Q11" s="15"/>
      <c r="R11" s="15"/>
      <c r="S11" s="15"/>
      <c r="T11" s="15"/>
      <c r="U11" s="15"/>
      <c r="V11" s="15"/>
      <c r="W11" s="15"/>
      <c r="X11" s="15"/>
      <c r="Y11" s="15"/>
      <c r="Z11" s="15"/>
    </row>
    <row r="12" spans="1:26" ht="60.75" thickBot="1" x14ac:dyDescent="0.3">
      <c r="A12" s="16" t="s">
        <v>21</v>
      </c>
      <c r="B12" s="18" t="s">
        <v>431</v>
      </c>
      <c r="C12" s="18" t="s">
        <v>22</v>
      </c>
      <c r="D12" s="19">
        <v>1</v>
      </c>
      <c r="E12" s="20" t="s">
        <v>821</v>
      </c>
      <c r="F12" s="21">
        <v>30</v>
      </c>
      <c r="G12" s="21">
        <v>0.16700000000000001</v>
      </c>
      <c r="H12" s="15"/>
      <c r="I12" s="15"/>
      <c r="J12" s="15"/>
      <c r="K12" s="15"/>
      <c r="L12" s="15"/>
      <c r="M12" s="15"/>
      <c r="N12" s="15"/>
      <c r="O12" s="15"/>
      <c r="P12" s="15"/>
      <c r="Q12" s="15"/>
      <c r="R12" s="15"/>
      <c r="S12" s="15"/>
      <c r="T12" s="15"/>
      <c r="U12" s="15"/>
      <c r="V12" s="15"/>
      <c r="W12" s="15"/>
      <c r="X12" s="15"/>
      <c r="Y12" s="15"/>
      <c r="Z12" s="15"/>
    </row>
    <row r="13" spans="1:26" ht="60.75" thickBot="1" x14ac:dyDescent="0.3">
      <c r="A13" s="17" t="s">
        <v>23</v>
      </c>
      <c r="B13" s="22" t="s">
        <v>432</v>
      </c>
      <c r="C13" s="22" t="s">
        <v>24</v>
      </c>
      <c r="D13" s="23">
        <v>1</v>
      </c>
      <c r="E13" s="24" t="s">
        <v>822</v>
      </c>
      <c r="F13" s="25">
        <v>18.5</v>
      </c>
      <c r="G13" s="25">
        <v>0.10299999999999999</v>
      </c>
      <c r="H13" s="15"/>
      <c r="I13" s="15"/>
      <c r="J13" s="15"/>
      <c r="K13" s="15"/>
      <c r="L13" s="15"/>
      <c r="M13" s="15"/>
      <c r="N13" s="15"/>
      <c r="O13" s="15"/>
      <c r="P13" s="15"/>
      <c r="Q13" s="15"/>
      <c r="R13" s="15"/>
      <c r="S13" s="15"/>
      <c r="T13" s="15"/>
      <c r="U13" s="15"/>
      <c r="V13" s="15"/>
      <c r="W13" s="15"/>
      <c r="X13" s="15"/>
      <c r="Y13" s="15"/>
      <c r="Z13" s="15"/>
    </row>
    <row r="14" spans="1:26" ht="105.75" thickBot="1" x14ac:dyDescent="0.3">
      <c r="A14" s="16" t="s">
        <v>25</v>
      </c>
      <c r="B14" s="18" t="s">
        <v>433</v>
      </c>
      <c r="C14" s="18" t="s">
        <v>26</v>
      </c>
      <c r="D14" s="19">
        <v>1</v>
      </c>
      <c r="E14" s="20" t="s">
        <v>823</v>
      </c>
      <c r="F14" s="21">
        <v>13.4</v>
      </c>
      <c r="G14" s="21">
        <v>0.1</v>
      </c>
      <c r="H14" s="15"/>
      <c r="I14" s="15"/>
      <c r="J14" s="15"/>
      <c r="K14" s="15"/>
      <c r="L14" s="15"/>
      <c r="M14" s="15"/>
      <c r="N14" s="15"/>
      <c r="O14" s="15"/>
      <c r="P14" s="15"/>
      <c r="Q14" s="15"/>
      <c r="R14" s="15"/>
      <c r="S14" s="15"/>
      <c r="T14" s="15"/>
      <c r="U14" s="15"/>
      <c r="V14" s="15"/>
      <c r="W14" s="15"/>
      <c r="X14" s="15"/>
      <c r="Y14" s="15"/>
      <c r="Z14" s="15"/>
    </row>
    <row r="15" spans="1:26" ht="60.75" thickBot="1" x14ac:dyDescent="0.3">
      <c r="A15" s="17" t="s">
        <v>27</v>
      </c>
      <c r="B15" s="22" t="s">
        <v>434</v>
      </c>
      <c r="C15" s="22" t="s">
        <v>28</v>
      </c>
      <c r="D15" s="23">
        <v>2</v>
      </c>
      <c r="E15" s="24" t="s">
        <v>824</v>
      </c>
      <c r="F15" s="25">
        <v>33</v>
      </c>
      <c r="G15" s="25">
        <v>0.36699999999999999</v>
      </c>
      <c r="H15" s="15"/>
      <c r="I15" s="15"/>
      <c r="J15" s="15"/>
      <c r="K15" s="15"/>
      <c r="L15" s="15"/>
      <c r="M15" s="15"/>
      <c r="N15" s="15"/>
      <c r="O15" s="15"/>
      <c r="P15" s="15"/>
      <c r="Q15" s="15"/>
      <c r="R15" s="15"/>
      <c r="S15" s="15"/>
      <c r="T15" s="15"/>
      <c r="U15" s="15"/>
      <c r="V15" s="15"/>
      <c r="W15" s="15"/>
      <c r="X15" s="15"/>
      <c r="Y15" s="15"/>
      <c r="Z15" s="15"/>
    </row>
    <row r="16" spans="1:26" ht="60.75" thickBot="1" x14ac:dyDescent="0.3">
      <c r="A16" s="16" t="s">
        <v>29</v>
      </c>
      <c r="B16" s="18" t="s">
        <v>435</v>
      </c>
      <c r="C16" s="18" t="s">
        <v>30</v>
      </c>
      <c r="D16" s="19">
        <v>3</v>
      </c>
      <c r="E16" s="20" t="s">
        <v>825</v>
      </c>
      <c r="F16" s="21">
        <v>24</v>
      </c>
      <c r="G16" s="21">
        <v>0.16</v>
      </c>
      <c r="H16" s="15"/>
      <c r="I16" s="15"/>
      <c r="J16" s="15"/>
      <c r="K16" s="15"/>
      <c r="L16" s="15"/>
      <c r="M16" s="15"/>
      <c r="N16" s="15"/>
      <c r="O16" s="15"/>
      <c r="P16" s="15"/>
      <c r="Q16" s="15"/>
      <c r="R16" s="15"/>
      <c r="S16" s="15"/>
      <c r="T16" s="15"/>
      <c r="U16" s="15"/>
      <c r="V16" s="15"/>
      <c r="W16" s="15"/>
      <c r="X16" s="15"/>
      <c r="Y16" s="15"/>
      <c r="Z16" s="15"/>
    </row>
    <row r="17" spans="1:26" ht="45.75" thickBot="1" x14ac:dyDescent="0.3">
      <c r="A17" s="17" t="s">
        <v>31</v>
      </c>
      <c r="B17" s="22" t="s">
        <v>436</v>
      </c>
      <c r="C17" s="22" t="s">
        <v>32</v>
      </c>
      <c r="D17" s="23">
        <v>0</v>
      </c>
      <c r="E17" s="24" t="s">
        <v>826</v>
      </c>
      <c r="F17" s="25">
        <v>20</v>
      </c>
      <c r="G17" s="25">
        <v>0.23499999999999999</v>
      </c>
      <c r="H17" s="15"/>
      <c r="I17" s="15"/>
      <c r="J17" s="15"/>
      <c r="K17" s="15"/>
      <c r="L17" s="15"/>
      <c r="M17" s="15"/>
      <c r="N17" s="15"/>
      <c r="O17" s="15"/>
      <c r="P17" s="15"/>
      <c r="Q17" s="15"/>
      <c r="R17" s="15"/>
      <c r="S17" s="15"/>
      <c r="T17" s="15"/>
      <c r="U17" s="15"/>
      <c r="V17" s="15"/>
      <c r="W17" s="15"/>
      <c r="X17" s="15"/>
      <c r="Y17" s="15"/>
      <c r="Z17" s="15"/>
    </row>
    <row r="18" spans="1:26" ht="60.75" thickBot="1" x14ac:dyDescent="0.3">
      <c r="A18" s="16" t="s">
        <v>33</v>
      </c>
      <c r="B18" s="18" t="s">
        <v>437</v>
      </c>
      <c r="C18" s="18" t="s">
        <v>34</v>
      </c>
      <c r="D18" s="19">
        <v>5</v>
      </c>
      <c r="E18" s="20" t="s">
        <v>827</v>
      </c>
      <c r="F18" s="21">
        <v>15</v>
      </c>
      <c r="G18" s="21">
        <v>7.6999999999999999E-2</v>
      </c>
      <c r="H18" s="15"/>
      <c r="I18" s="15"/>
      <c r="J18" s="15"/>
      <c r="K18" s="15"/>
      <c r="L18" s="15"/>
      <c r="M18" s="15"/>
      <c r="N18" s="15"/>
      <c r="O18" s="15"/>
      <c r="P18" s="15"/>
      <c r="Q18" s="15"/>
      <c r="R18" s="15"/>
      <c r="S18" s="15"/>
      <c r="T18" s="15"/>
      <c r="U18" s="15"/>
      <c r="V18" s="15"/>
      <c r="W18" s="15"/>
      <c r="X18" s="15"/>
      <c r="Y18" s="15"/>
      <c r="Z18" s="15"/>
    </row>
    <row r="19" spans="1:26" ht="45.75" thickBot="1" x14ac:dyDescent="0.3">
      <c r="A19" s="17" t="s">
        <v>35</v>
      </c>
      <c r="B19" s="22" t="s">
        <v>438</v>
      </c>
      <c r="C19" s="22" t="s">
        <v>36</v>
      </c>
      <c r="D19" s="23">
        <v>78</v>
      </c>
      <c r="E19" s="24" t="s">
        <v>828</v>
      </c>
      <c r="F19" s="25">
        <v>15</v>
      </c>
      <c r="G19" s="25">
        <v>8.7999999999999995E-2</v>
      </c>
      <c r="H19" s="15"/>
      <c r="I19" s="15"/>
      <c r="J19" s="15"/>
      <c r="K19" s="15"/>
      <c r="L19" s="15"/>
      <c r="M19" s="15"/>
      <c r="N19" s="15"/>
      <c r="O19" s="15"/>
      <c r="P19" s="15"/>
      <c r="Q19" s="15"/>
      <c r="R19" s="15"/>
      <c r="S19" s="15"/>
      <c r="T19" s="15"/>
      <c r="U19" s="15"/>
      <c r="V19" s="15"/>
      <c r="W19" s="15"/>
      <c r="X19" s="15"/>
      <c r="Y19" s="15"/>
      <c r="Z19" s="15"/>
    </row>
    <row r="20" spans="1:26" ht="45.75" thickBot="1" x14ac:dyDescent="0.3">
      <c r="A20" s="16" t="s">
        <v>637</v>
      </c>
      <c r="B20" s="18" t="s">
        <v>640</v>
      </c>
      <c r="C20" s="18" t="s">
        <v>829</v>
      </c>
      <c r="D20" s="19">
        <v>0</v>
      </c>
      <c r="E20" s="20" t="s">
        <v>830</v>
      </c>
      <c r="F20" s="21">
        <v>25</v>
      </c>
      <c r="G20" s="21">
        <v>0.104</v>
      </c>
      <c r="H20" s="15"/>
      <c r="I20" s="15"/>
      <c r="J20" s="15"/>
      <c r="K20" s="15"/>
      <c r="L20" s="15"/>
      <c r="M20" s="15"/>
      <c r="N20" s="15"/>
      <c r="O20" s="15"/>
      <c r="P20" s="15"/>
      <c r="Q20" s="15"/>
      <c r="R20" s="15"/>
      <c r="S20" s="15"/>
      <c r="T20" s="15"/>
      <c r="U20" s="15"/>
      <c r="V20" s="15"/>
      <c r="W20" s="15"/>
      <c r="X20" s="15"/>
      <c r="Y20" s="15"/>
      <c r="Z20" s="15"/>
    </row>
    <row r="21" spans="1:26" ht="45.75" thickBot="1" x14ac:dyDescent="0.3">
      <c r="A21" s="17" t="s">
        <v>636</v>
      </c>
      <c r="B21" s="22" t="s">
        <v>639</v>
      </c>
      <c r="C21" s="22" t="s">
        <v>831</v>
      </c>
      <c r="D21" s="23">
        <v>2</v>
      </c>
      <c r="E21" s="24" t="s">
        <v>832</v>
      </c>
      <c r="F21" s="25">
        <v>26.4</v>
      </c>
      <c r="G21" s="25">
        <v>0.126</v>
      </c>
      <c r="H21" s="15"/>
      <c r="I21" s="15"/>
      <c r="J21" s="15"/>
      <c r="K21" s="15"/>
      <c r="L21" s="15"/>
      <c r="M21" s="15"/>
      <c r="N21" s="15"/>
      <c r="O21" s="15"/>
      <c r="P21" s="15"/>
      <c r="Q21" s="15"/>
      <c r="R21" s="15"/>
      <c r="S21" s="15"/>
      <c r="T21" s="15"/>
      <c r="U21" s="15"/>
      <c r="V21" s="15"/>
      <c r="W21" s="15"/>
      <c r="X21" s="15"/>
      <c r="Y21" s="15"/>
      <c r="Z21" s="15"/>
    </row>
    <row r="22" spans="1:26" ht="45.75" thickBot="1" x14ac:dyDescent="0.3">
      <c r="A22" s="16" t="s">
        <v>632</v>
      </c>
      <c r="B22" s="18" t="s">
        <v>634</v>
      </c>
      <c r="C22" s="18" t="s">
        <v>833</v>
      </c>
      <c r="D22" s="19">
        <v>0</v>
      </c>
      <c r="E22" s="20" t="s">
        <v>834</v>
      </c>
      <c r="F22" s="21">
        <v>18.600000000000001</v>
      </c>
      <c r="G22" s="21">
        <v>8.8999999999999996E-2</v>
      </c>
      <c r="H22" s="15"/>
      <c r="I22" s="15"/>
      <c r="J22" s="15"/>
      <c r="K22" s="15"/>
      <c r="L22" s="15"/>
      <c r="M22" s="15"/>
      <c r="N22" s="15"/>
      <c r="O22" s="15"/>
      <c r="P22" s="15"/>
      <c r="Q22" s="15"/>
      <c r="R22" s="15"/>
      <c r="S22" s="15"/>
      <c r="T22" s="15"/>
      <c r="U22" s="15"/>
      <c r="V22" s="15"/>
      <c r="W22" s="15"/>
      <c r="X22" s="15"/>
      <c r="Y22" s="15"/>
      <c r="Z22" s="15"/>
    </row>
    <row r="23" spans="1:26" ht="45.75" thickBot="1" x14ac:dyDescent="0.3">
      <c r="A23" s="17" t="s">
        <v>37</v>
      </c>
      <c r="B23" s="22" t="s">
        <v>439</v>
      </c>
      <c r="C23" s="22" t="s">
        <v>38</v>
      </c>
      <c r="D23" s="23">
        <v>4</v>
      </c>
      <c r="E23" s="24" t="s">
        <v>835</v>
      </c>
      <c r="F23" s="25">
        <v>15.6</v>
      </c>
      <c r="G23" s="25">
        <v>8.6999999999999994E-2</v>
      </c>
      <c r="H23" s="15"/>
      <c r="I23" s="15"/>
      <c r="J23" s="15"/>
      <c r="K23" s="15"/>
      <c r="L23" s="15"/>
      <c r="M23" s="15"/>
      <c r="N23" s="15"/>
      <c r="O23" s="15"/>
      <c r="P23" s="15"/>
      <c r="Q23" s="15"/>
      <c r="R23" s="15"/>
      <c r="S23" s="15"/>
      <c r="T23" s="15"/>
      <c r="U23" s="15"/>
      <c r="V23" s="15"/>
      <c r="W23" s="15"/>
      <c r="X23" s="15"/>
      <c r="Y23" s="15"/>
      <c r="Z23" s="15"/>
    </row>
    <row r="24" spans="1:26" ht="60.75" thickBot="1" x14ac:dyDescent="0.3">
      <c r="A24" s="16" t="s">
        <v>633</v>
      </c>
      <c r="B24" s="18" t="s">
        <v>635</v>
      </c>
      <c r="C24" s="18" t="s">
        <v>836</v>
      </c>
      <c r="D24" s="19">
        <v>0</v>
      </c>
      <c r="E24" s="20" t="s">
        <v>837</v>
      </c>
      <c r="F24" s="21">
        <v>17</v>
      </c>
      <c r="G24" s="21">
        <v>9.7000000000000003E-2</v>
      </c>
      <c r="H24" s="15"/>
      <c r="I24" s="15"/>
      <c r="J24" s="15"/>
      <c r="K24" s="15"/>
      <c r="L24" s="15"/>
      <c r="M24" s="15"/>
      <c r="N24" s="15"/>
      <c r="O24" s="15"/>
      <c r="P24" s="15"/>
      <c r="Q24" s="15"/>
      <c r="R24" s="15"/>
      <c r="S24" s="15"/>
      <c r="T24" s="15"/>
      <c r="U24" s="15"/>
      <c r="V24" s="15"/>
      <c r="W24" s="15"/>
      <c r="X24" s="15"/>
      <c r="Y24" s="15"/>
      <c r="Z24" s="15"/>
    </row>
    <row r="25" spans="1:26" ht="60.75" thickBot="1" x14ac:dyDescent="0.3">
      <c r="A25" s="17" t="s">
        <v>39</v>
      </c>
      <c r="B25" s="22" t="s">
        <v>440</v>
      </c>
      <c r="C25" s="22" t="s">
        <v>40</v>
      </c>
      <c r="D25" s="23">
        <v>3</v>
      </c>
      <c r="E25" s="24" t="s">
        <v>838</v>
      </c>
      <c r="F25" s="25">
        <v>24</v>
      </c>
      <c r="G25" s="25">
        <v>0.22900000000000001</v>
      </c>
      <c r="H25" s="15"/>
      <c r="I25" s="15"/>
      <c r="J25" s="15"/>
      <c r="K25" s="15"/>
      <c r="L25" s="15"/>
      <c r="M25" s="15"/>
      <c r="N25" s="15"/>
      <c r="O25" s="15"/>
      <c r="P25" s="15"/>
      <c r="Q25" s="15"/>
      <c r="R25" s="15"/>
      <c r="S25" s="15"/>
      <c r="T25" s="15"/>
      <c r="U25" s="15"/>
      <c r="V25" s="15"/>
      <c r="W25" s="15"/>
      <c r="X25" s="15"/>
      <c r="Y25" s="15"/>
      <c r="Z25" s="15"/>
    </row>
    <row r="26" spans="1:26" ht="45.75" thickBot="1" x14ac:dyDescent="0.3">
      <c r="A26" s="16" t="s">
        <v>41</v>
      </c>
      <c r="B26" s="18" t="s">
        <v>441</v>
      </c>
      <c r="C26" s="18" t="s">
        <v>42</v>
      </c>
      <c r="D26" s="19">
        <v>1</v>
      </c>
      <c r="E26" s="20" t="s">
        <v>839</v>
      </c>
      <c r="F26" s="21">
        <v>24.5</v>
      </c>
      <c r="G26" s="21">
        <v>0.27200000000000002</v>
      </c>
      <c r="H26" s="15"/>
      <c r="I26" s="15"/>
      <c r="J26" s="15"/>
      <c r="K26" s="15"/>
      <c r="L26" s="15"/>
      <c r="M26" s="15"/>
      <c r="N26" s="15"/>
      <c r="O26" s="15"/>
      <c r="P26" s="15"/>
      <c r="Q26" s="15"/>
      <c r="R26" s="15"/>
      <c r="S26" s="15"/>
      <c r="T26" s="15"/>
      <c r="U26" s="15"/>
      <c r="V26" s="15"/>
      <c r="W26" s="15"/>
      <c r="X26" s="15"/>
      <c r="Y26" s="15"/>
      <c r="Z26" s="15"/>
    </row>
    <row r="27" spans="1:26" ht="60.75" thickBot="1" x14ac:dyDescent="0.3">
      <c r="A27" s="17" t="s">
        <v>43</v>
      </c>
      <c r="B27" s="22" t="s">
        <v>442</v>
      </c>
      <c r="C27" s="22" t="s">
        <v>44</v>
      </c>
      <c r="D27" s="23">
        <v>0</v>
      </c>
      <c r="E27" s="24" t="s">
        <v>840</v>
      </c>
      <c r="F27" s="25">
        <v>23.1</v>
      </c>
      <c r="G27" s="25">
        <v>0.34499999999999997</v>
      </c>
      <c r="H27" s="15"/>
      <c r="I27" s="15"/>
      <c r="J27" s="15"/>
      <c r="K27" s="15"/>
      <c r="L27" s="15"/>
      <c r="M27" s="15"/>
      <c r="N27" s="15"/>
      <c r="O27" s="15"/>
      <c r="P27" s="15"/>
      <c r="Q27" s="15"/>
      <c r="R27" s="15"/>
      <c r="S27" s="15"/>
      <c r="T27" s="15"/>
      <c r="U27" s="15"/>
      <c r="V27" s="15"/>
      <c r="W27" s="15"/>
      <c r="X27" s="15"/>
      <c r="Y27" s="15"/>
      <c r="Z27" s="15"/>
    </row>
    <row r="28" spans="1:26" ht="60.75" thickBot="1" x14ac:dyDescent="0.3">
      <c r="A28" s="16" t="s">
        <v>45</v>
      </c>
      <c r="B28" s="18" t="s">
        <v>443</v>
      </c>
      <c r="C28" s="18" t="s">
        <v>46</v>
      </c>
      <c r="D28" s="19">
        <v>4</v>
      </c>
      <c r="E28" s="20" t="s">
        <v>841</v>
      </c>
      <c r="F28" s="21">
        <v>30</v>
      </c>
      <c r="G28" s="21">
        <v>0.316</v>
      </c>
      <c r="H28" s="15"/>
      <c r="I28" s="15"/>
      <c r="J28" s="15"/>
      <c r="K28" s="15"/>
      <c r="L28" s="15"/>
      <c r="M28" s="15"/>
      <c r="N28" s="15"/>
      <c r="O28" s="15"/>
      <c r="P28" s="15"/>
      <c r="Q28" s="15"/>
      <c r="R28" s="15"/>
      <c r="S28" s="15"/>
      <c r="T28" s="15"/>
      <c r="U28" s="15"/>
      <c r="V28" s="15"/>
      <c r="W28" s="15"/>
      <c r="X28" s="15"/>
      <c r="Y28" s="15"/>
      <c r="Z28" s="15"/>
    </row>
    <row r="29" spans="1:26" ht="90.75" thickBot="1" x14ac:dyDescent="0.3">
      <c r="A29" s="17" t="s">
        <v>47</v>
      </c>
      <c r="B29" s="22" t="s">
        <v>444</v>
      </c>
      <c r="C29" s="22" t="s">
        <v>48</v>
      </c>
      <c r="D29" s="23">
        <v>2</v>
      </c>
      <c r="E29" s="24" t="s">
        <v>842</v>
      </c>
      <c r="F29" s="25">
        <v>22.2</v>
      </c>
      <c r="G29" s="25">
        <v>0.37</v>
      </c>
      <c r="H29" s="15"/>
      <c r="I29" s="15"/>
      <c r="J29" s="15"/>
      <c r="K29" s="15"/>
      <c r="L29" s="15"/>
      <c r="M29" s="15"/>
      <c r="N29" s="15"/>
      <c r="O29" s="15"/>
      <c r="P29" s="15"/>
      <c r="Q29" s="15"/>
      <c r="R29" s="15"/>
      <c r="S29" s="15"/>
      <c r="T29" s="15"/>
      <c r="U29" s="15"/>
      <c r="V29" s="15"/>
      <c r="W29" s="15"/>
      <c r="X29" s="15"/>
      <c r="Y29" s="15"/>
      <c r="Z29" s="15"/>
    </row>
    <row r="30" spans="1:26" ht="90.75" thickBot="1" x14ac:dyDescent="0.3">
      <c r="A30" s="16" t="s">
        <v>49</v>
      </c>
      <c r="B30" s="18" t="s">
        <v>445</v>
      </c>
      <c r="C30" s="18" t="s">
        <v>50</v>
      </c>
      <c r="D30" s="19">
        <v>8</v>
      </c>
      <c r="E30" s="20" t="s">
        <v>843</v>
      </c>
      <c r="F30" s="21">
        <v>23.8</v>
      </c>
      <c r="G30" s="21">
        <v>0.183</v>
      </c>
      <c r="H30" s="15"/>
      <c r="I30" s="15"/>
      <c r="J30" s="15"/>
      <c r="K30" s="15"/>
      <c r="L30" s="15"/>
      <c r="M30" s="15"/>
      <c r="N30" s="15"/>
      <c r="O30" s="15"/>
      <c r="P30" s="15"/>
      <c r="Q30" s="15"/>
      <c r="R30" s="15"/>
      <c r="S30" s="15"/>
      <c r="T30" s="15"/>
      <c r="U30" s="15"/>
      <c r="V30" s="15"/>
      <c r="W30" s="15"/>
      <c r="X30" s="15"/>
      <c r="Y30" s="15"/>
      <c r="Z30" s="15"/>
    </row>
    <row r="31" spans="1:26" ht="45.75" thickBot="1" x14ac:dyDescent="0.3">
      <c r="A31" s="17" t="s">
        <v>51</v>
      </c>
      <c r="B31" s="22" t="s">
        <v>446</v>
      </c>
      <c r="C31" s="22" t="s">
        <v>52</v>
      </c>
      <c r="D31" s="23">
        <v>2</v>
      </c>
      <c r="E31" s="24" t="s">
        <v>844</v>
      </c>
      <c r="F31" s="25">
        <v>5</v>
      </c>
      <c r="G31" s="25">
        <v>6.8000000000000005E-2</v>
      </c>
      <c r="H31" s="15"/>
      <c r="I31" s="15"/>
      <c r="J31" s="15"/>
      <c r="K31" s="15"/>
      <c r="L31" s="15"/>
      <c r="M31" s="15"/>
      <c r="N31" s="15"/>
      <c r="O31" s="15"/>
      <c r="P31" s="15"/>
      <c r="Q31" s="15"/>
      <c r="R31" s="15"/>
      <c r="S31" s="15"/>
      <c r="T31" s="15"/>
      <c r="U31" s="15"/>
      <c r="V31" s="15"/>
      <c r="W31" s="15"/>
      <c r="X31" s="15"/>
      <c r="Y31" s="15"/>
      <c r="Z31" s="15"/>
    </row>
    <row r="32" spans="1:26" ht="45.75" thickBot="1" x14ac:dyDescent="0.3">
      <c r="A32" s="16" t="s">
        <v>53</v>
      </c>
      <c r="B32" s="18" t="s">
        <v>447</v>
      </c>
      <c r="C32" s="18" t="s">
        <v>54</v>
      </c>
      <c r="D32" s="19">
        <v>1</v>
      </c>
      <c r="E32" s="20" t="s">
        <v>845</v>
      </c>
      <c r="F32" s="21">
        <v>30</v>
      </c>
      <c r="G32" s="21">
        <v>0.33300000000000002</v>
      </c>
      <c r="H32" s="15"/>
      <c r="I32" s="15"/>
      <c r="J32" s="15"/>
      <c r="K32" s="15"/>
      <c r="L32" s="15"/>
      <c r="M32" s="15"/>
      <c r="N32" s="15"/>
      <c r="O32" s="15"/>
      <c r="P32" s="15"/>
      <c r="Q32" s="15"/>
      <c r="R32" s="15"/>
      <c r="S32" s="15"/>
      <c r="T32" s="15"/>
      <c r="U32" s="15"/>
      <c r="V32" s="15"/>
      <c r="W32" s="15"/>
      <c r="X32" s="15"/>
      <c r="Y32" s="15"/>
      <c r="Z32" s="15"/>
    </row>
    <row r="33" spans="1:26" ht="60.75" thickBot="1" x14ac:dyDescent="0.3">
      <c r="A33" s="17" t="s">
        <v>55</v>
      </c>
      <c r="B33" s="22" t="s">
        <v>448</v>
      </c>
      <c r="C33" s="22" t="s">
        <v>56</v>
      </c>
      <c r="D33" s="23">
        <v>1</v>
      </c>
      <c r="E33" s="24" t="s">
        <v>846</v>
      </c>
      <c r="F33" s="25">
        <v>28.8</v>
      </c>
      <c r="G33" s="25">
        <v>0.32</v>
      </c>
      <c r="H33" s="15"/>
      <c r="I33" s="15"/>
      <c r="J33" s="15"/>
      <c r="K33" s="15"/>
      <c r="L33" s="15"/>
      <c r="M33" s="15"/>
      <c r="N33" s="15"/>
      <c r="O33" s="15"/>
      <c r="P33" s="15"/>
      <c r="Q33" s="15"/>
      <c r="R33" s="15"/>
      <c r="S33" s="15"/>
      <c r="T33" s="15"/>
      <c r="U33" s="15"/>
      <c r="V33" s="15"/>
      <c r="W33" s="15"/>
      <c r="X33" s="15"/>
      <c r="Y33" s="15"/>
      <c r="Z33" s="15"/>
    </row>
    <row r="34" spans="1:26" ht="135.75" thickBot="1" x14ac:dyDescent="0.3">
      <c r="A34" s="16" t="s">
        <v>57</v>
      </c>
      <c r="B34" s="18" t="s">
        <v>449</v>
      </c>
      <c r="C34" s="18" t="s">
        <v>58</v>
      </c>
      <c r="D34" s="19">
        <v>7</v>
      </c>
      <c r="E34" s="20" t="s">
        <v>847</v>
      </c>
      <c r="F34" s="21">
        <v>18</v>
      </c>
      <c r="G34" s="21">
        <v>0.10299999999999999</v>
      </c>
      <c r="H34" s="15"/>
      <c r="I34" s="15"/>
      <c r="J34" s="15"/>
      <c r="K34" s="15"/>
      <c r="L34" s="15"/>
      <c r="M34" s="15"/>
      <c r="N34" s="15"/>
      <c r="O34" s="15"/>
      <c r="P34" s="15"/>
      <c r="Q34" s="15"/>
      <c r="R34" s="15"/>
      <c r="S34" s="15"/>
      <c r="T34" s="15"/>
      <c r="U34" s="15"/>
      <c r="V34" s="15"/>
      <c r="W34" s="15"/>
      <c r="X34" s="15"/>
      <c r="Y34" s="15"/>
      <c r="Z34" s="15"/>
    </row>
    <row r="35" spans="1:26" ht="60.75" thickBot="1" x14ac:dyDescent="0.3">
      <c r="A35" s="17" t="s">
        <v>59</v>
      </c>
      <c r="B35" s="22" t="s">
        <v>450</v>
      </c>
      <c r="C35" s="22" t="s">
        <v>60</v>
      </c>
      <c r="D35" s="23">
        <v>0</v>
      </c>
      <c r="E35" s="24" t="s">
        <v>848</v>
      </c>
      <c r="F35" s="25">
        <v>20.3</v>
      </c>
      <c r="G35" s="25">
        <v>0.28999999999999998</v>
      </c>
      <c r="H35" s="15"/>
      <c r="I35" s="15"/>
      <c r="J35" s="15"/>
      <c r="K35" s="15"/>
      <c r="L35" s="15"/>
      <c r="M35" s="15"/>
      <c r="N35" s="15"/>
      <c r="O35" s="15"/>
      <c r="P35" s="15"/>
      <c r="Q35" s="15"/>
      <c r="R35" s="15"/>
      <c r="S35" s="15"/>
      <c r="T35" s="15"/>
      <c r="U35" s="15"/>
      <c r="V35" s="15"/>
      <c r="W35" s="15"/>
      <c r="X35" s="15"/>
      <c r="Y35" s="15"/>
      <c r="Z35" s="15"/>
    </row>
    <row r="36" spans="1:26" ht="60.75" thickBot="1" x14ac:dyDescent="0.3">
      <c r="A36" s="16" t="s">
        <v>61</v>
      </c>
      <c r="B36" s="18" t="s">
        <v>451</v>
      </c>
      <c r="C36" s="18" t="s">
        <v>62</v>
      </c>
      <c r="D36" s="19">
        <v>2</v>
      </c>
      <c r="E36" s="20" t="s">
        <v>849</v>
      </c>
      <c r="F36" s="21">
        <v>27.2</v>
      </c>
      <c r="G36" s="21">
        <v>0.28599999999999998</v>
      </c>
      <c r="H36" s="15"/>
      <c r="I36" s="15"/>
      <c r="J36" s="15"/>
      <c r="K36" s="15"/>
      <c r="L36" s="15"/>
      <c r="M36" s="15"/>
      <c r="N36" s="15"/>
      <c r="O36" s="15"/>
      <c r="P36" s="15"/>
      <c r="Q36" s="15"/>
      <c r="R36" s="15"/>
      <c r="S36" s="15"/>
      <c r="T36" s="15"/>
      <c r="U36" s="15"/>
      <c r="V36" s="15"/>
      <c r="W36" s="15"/>
      <c r="X36" s="15"/>
      <c r="Y36" s="15"/>
      <c r="Z36" s="15"/>
    </row>
    <row r="37" spans="1:26" ht="60.75" thickBot="1" x14ac:dyDescent="0.3">
      <c r="A37" s="17" t="s">
        <v>63</v>
      </c>
      <c r="B37" s="22" t="s">
        <v>452</v>
      </c>
      <c r="C37" s="22" t="s">
        <v>64</v>
      </c>
      <c r="D37" s="23">
        <v>0</v>
      </c>
      <c r="E37" s="24" t="s">
        <v>850</v>
      </c>
      <c r="F37" s="25">
        <v>12.6</v>
      </c>
      <c r="G37" s="25">
        <v>0.06</v>
      </c>
      <c r="H37" s="15"/>
      <c r="I37" s="15"/>
      <c r="J37" s="15"/>
      <c r="K37" s="15"/>
      <c r="L37" s="15"/>
      <c r="M37" s="15"/>
      <c r="N37" s="15"/>
      <c r="O37" s="15"/>
      <c r="P37" s="15"/>
      <c r="Q37" s="15"/>
      <c r="R37" s="15"/>
      <c r="S37" s="15"/>
      <c r="T37" s="15"/>
      <c r="U37" s="15"/>
      <c r="V37" s="15"/>
      <c r="W37" s="15"/>
      <c r="X37" s="15"/>
      <c r="Y37" s="15"/>
      <c r="Z37" s="15"/>
    </row>
    <row r="38" spans="1:26" ht="60.75" thickBot="1" x14ac:dyDescent="0.3">
      <c r="A38" s="16" t="s">
        <v>65</v>
      </c>
      <c r="B38" s="18" t="s">
        <v>453</v>
      </c>
      <c r="C38" s="18" t="s">
        <v>66</v>
      </c>
      <c r="D38" s="19">
        <v>1</v>
      </c>
      <c r="E38" s="20" t="s">
        <v>851</v>
      </c>
      <c r="F38" s="21">
        <v>24</v>
      </c>
      <c r="G38" s="21">
        <v>0.34300000000000003</v>
      </c>
      <c r="H38" s="15"/>
      <c r="I38" s="15"/>
      <c r="J38" s="15"/>
      <c r="K38" s="15"/>
      <c r="L38" s="15"/>
      <c r="M38" s="15"/>
      <c r="N38" s="15"/>
      <c r="O38" s="15"/>
      <c r="P38" s="15"/>
      <c r="Q38" s="15"/>
      <c r="R38" s="15"/>
      <c r="S38" s="15"/>
      <c r="T38" s="15"/>
      <c r="U38" s="15"/>
      <c r="V38" s="15"/>
      <c r="W38" s="15"/>
      <c r="X38" s="15"/>
      <c r="Y38" s="15"/>
      <c r="Z38" s="15"/>
    </row>
    <row r="39" spans="1:26" ht="75.75" thickBot="1" x14ac:dyDescent="0.3">
      <c r="A39" s="17" t="s">
        <v>67</v>
      </c>
      <c r="B39" s="22" t="s">
        <v>454</v>
      </c>
      <c r="C39" s="22" t="s">
        <v>68</v>
      </c>
      <c r="D39" s="23">
        <v>1</v>
      </c>
      <c r="E39" s="24" t="s">
        <v>852</v>
      </c>
      <c r="F39" s="25">
        <v>30.3</v>
      </c>
      <c r="G39" s="25">
        <v>0.28899999999999998</v>
      </c>
      <c r="H39" s="15"/>
      <c r="I39" s="15"/>
      <c r="J39" s="15"/>
      <c r="K39" s="15"/>
      <c r="L39" s="15"/>
      <c r="M39" s="15"/>
      <c r="N39" s="15"/>
      <c r="O39" s="15"/>
      <c r="P39" s="15"/>
      <c r="Q39" s="15"/>
      <c r="R39" s="15"/>
      <c r="S39" s="15"/>
      <c r="T39" s="15"/>
      <c r="U39" s="15"/>
      <c r="V39" s="15"/>
      <c r="W39" s="15"/>
      <c r="X39" s="15"/>
      <c r="Y39" s="15"/>
      <c r="Z39" s="15"/>
    </row>
    <row r="40" spans="1:26" ht="75.75" thickBot="1" x14ac:dyDescent="0.3">
      <c r="A40" s="16" t="s">
        <v>69</v>
      </c>
      <c r="B40" s="18" t="s">
        <v>455</v>
      </c>
      <c r="C40" s="18" t="s">
        <v>70</v>
      </c>
      <c r="D40" s="19">
        <v>1</v>
      </c>
      <c r="E40" s="20" t="s">
        <v>853</v>
      </c>
      <c r="F40" s="21">
        <v>30.3</v>
      </c>
      <c r="G40" s="21">
        <v>0.28899999999999998</v>
      </c>
      <c r="H40" s="15"/>
      <c r="I40" s="15"/>
      <c r="J40" s="15"/>
      <c r="K40" s="15"/>
      <c r="L40" s="15"/>
      <c r="M40" s="15"/>
      <c r="N40" s="15"/>
      <c r="O40" s="15"/>
      <c r="P40" s="15"/>
      <c r="Q40" s="15"/>
      <c r="R40" s="15"/>
      <c r="S40" s="15"/>
      <c r="T40" s="15"/>
      <c r="U40" s="15"/>
      <c r="V40" s="15"/>
      <c r="W40" s="15"/>
      <c r="X40" s="15"/>
      <c r="Y40" s="15"/>
      <c r="Z40" s="15"/>
    </row>
    <row r="41" spans="1:26" ht="60.75" thickBot="1" x14ac:dyDescent="0.3">
      <c r="A41" s="17" t="s">
        <v>71</v>
      </c>
      <c r="B41" s="22" t="s">
        <v>456</v>
      </c>
      <c r="C41" s="22" t="s">
        <v>72</v>
      </c>
      <c r="D41" s="23">
        <v>1</v>
      </c>
      <c r="E41" s="24" t="s">
        <v>854</v>
      </c>
      <c r="F41" s="25">
        <v>31.4</v>
      </c>
      <c r="G41" s="25">
        <v>0.33100000000000002</v>
      </c>
      <c r="H41" s="15"/>
      <c r="I41" s="15"/>
      <c r="J41" s="15"/>
      <c r="K41" s="15"/>
      <c r="L41" s="15"/>
      <c r="M41" s="15"/>
      <c r="N41" s="15"/>
      <c r="O41" s="15"/>
      <c r="P41" s="15"/>
      <c r="Q41" s="15"/>
      <c r="R41" s="15"/>
      <c r="S41" s="15"/>
      <c r="T41" s="15"/>
      <c r="U41" s="15"/>
      <c r="V41" s="15"/>
      <c r="W41" s="15"/>
      <c r="X41" s="15"/>
      <c r="Y41" s="15"/>
      <c r="Z41" s="15"/>
    </row>
    <row r="42" spans="1:26" ht="105.75" thickBot="1" x14ac:dyDescent="0.3">
      <c r="A42" s="16" t="s">
        <v>73</v>
      </c>
      <c r="B42" s="18" t="s">
        <v>457</v>
      </c>
      <c r="C42" s="18" t="s">
        <v>74</v>
      </c>
      <c r="D42" s="19">
        <v>0</v>
      </c>
      <c r="E42" s="20" t="s">
        <v>855</v>
      </c>
      <c r="F42" s="21">
        <v>25.5</v>
      </c>
      <c r="G42" s="21">
        <v>0.378</v>
      </c>
      <c r="H42" s="15"/>
      <c r="I42" s="15"/>
      <c r="J42" s="15"/>
      <c r="K42" s="15"/>
      <c r="L42" s="15"/>
      <c r="M42" s="15"/>
      <c r="N42" s="15"/>
      <c r="O42" s="15"/>
      <c r="P42" s="15"/>
      <c r="Q42" s="15"/>
      <c r="R42" s="15"/>
      <c r="S42" s="15"/>
      <c r="T42" s="15"/>
      <c r="U42" s="15"/>
      <c r="V42" s="15"/>
      <c r="W42" s="15"/>
      <c r="X42" s="15"/>
      <c r="Y42" s="15"/>
      <c r="Z42" s="15"/>
    </row>
    <row r="43" spans="1:26" ht="75.75" thickBot="1" x14ac:dyDescent="0.3">
      <c r="A43" s="17" t="s">
        <v>75</v>
      </c>
      <c r="B43" s="22" t="s">
        <v>458</v>
      </c>
      <c r="C43" s="22" t="s">
        <v>76</v>
      </c>
      <c r="D43" s="23">
        <v>1</v>
      </c>
      <c r="E43" s="24" t="s">
        <v>856</v>
      </c>
      <c r="F43" s="25">
        <v>24</v>
      </c>
      <c r="G43" s="25">
        <v>0.127</v>
      </c>
      <c r="H43" s="15"/>
      <c r="I43" s="15"/>
      <c r="J43" s="15"/>
      <c r="K43" s="15"/>
      <c r="L43" s="15"/>
      <c r="M43" s="15"/>
      <c r="N43" s="15"/>
      <c r="O43" s="15"/>
      <c r="P43" s="15"/>
      <c r="Q43" s="15"/>
      <c r="R43" s="15"/>
      <c r="S43" s="15"/>
      <c r="T43" s="15"/>
      <c r="U43" s="15"/>
      <c r="V43" s="15"/>
      <c r="W43" s="15"/>
      <c r="X43" s="15"/>
      <c r="Y43" s="15"/>
      <c r="Z43" s="15"/>
    </row>
    <row r="44" spans="1:26" ht="45.75" thickBot="1" x14ac:dyDescent="0.3">
      <c r="A44" s="16" t="s">
        <v>77</v>
      </c>
      <c r="B44" s="18" t="s">
        <v>459</v>
      </c>
      <c r="C44" s="18" t="s">
        <v>78</v>
      </c>
      <c r="D44" s="19">
        <v>0</v>
      </c>
      <c r="E44" s="20" t="s">
        <v>857</v>
      </c>
      <c r="F44" s="21">
        <v>18</v>
      </c>
      <c r="G44" s="21">
        <v>0.3</v>
      </c>
      <c r="H44" s="15"/>
      <c r="I44" s="15"/>
      <c r="J44" s="15"/>
      <c r="K44" s="15"/>
      <c r="L44" s="15"/>
      <c r="M44" s="15"/>
      <c r="N44" s="15"/>
      <c r="O44" s="15"/>
      <c r="P44" s="15"/>
      <c r="Q44" s="15"/>
      <c r="R44" s="15"/>
      <c r="S44" s="15"/>
      <c r="T44" s="15"/>
      <c r="U44" s="15"/>
      <c r="V44" s="15"/>
      <c r="W44" s="15"/>
      <c r="X44" s="15"/>
      <c r="Y44" s="15"/>
      <c r="Z44" s="15"/>
    </row>
    <row r="45" spans="1:26" ht="45.75" thickBot="1" x14ac:dyDescent="0.3">
      <c r="A45" s="17" t="s">
        <v>79</v>
      </c>
      <c r="B45" s="22" t="s">
        <v>460</v>
      </c>
      <c r="C45" s="22" t="s">
        <v>80</v>
      </c>
      <c r="D45" s="23">
        <v>2</v>
      </c>
      <c r="E45" s="24" t="s">
        <v>858</v>
      </c>
      <c r="F45" s="25">
        <v>24</v>
      </c>
      <c r="G45" s="25">
        <v>0.123</v>
      </c>
      <c r="H45" s="15"/>
      <c r="I45" s="15"/>
      <c r="J45" s="15"/>
      <c r="K45" s="15"/>
      <c r="L45" s="15"/>
      <c r="M45" s="15"/>
      <c r="N45" s="15"/>
      <c r="O45" s="15"/>
      <c r="P45" s="15"/>
      <c r="Q45" s="15"/>
      <c r="R45" s="15"/>
      <c r="S45" s="15"/>
      <c r="T45" s="15"/>
      <c r="U45" s="15"/>
      <c r="V45" s="15"/>
      <c r="W45" s="15"/>
      <c r="X45" s="15"/>
      <c r="Y45" s="15"/>
      <c r="Z45" s="15"/>
    </row>
    <row r="46" spans="1:26" ht="60.75" thickBot="1" x14ac:dyDescent="0.3">
      <c r="A46" s="16" t="s">
        <v>81</v>
      </c>
      <c r="B46" s="18" t="s">
        <v>461</v>
      </c>
      <c r="C46" s="18" t="s">
        <v>82</v>
      </c>
      <c r="D46" s="19">
        <v>1</v>
      </c>
      <c r="E46" s="20" t="s">
        <v>859</v>
      </c>
      <c r="F46" s="21">
        <v>29.1</v>
      </c>
      <c r="G46" s="21">
        <v>0.24299999999999999</v>
      </c>
      <c r="H46" s="15"/>
      <c r="I46" s="15"/>
      <c r="J46" s="15"/>
      <c r="K46" s="15"/>
      <c r="L46" s="15"/>
      <c r="M46" s="15"/>
      <c r="N46" s="15"/>
      <c r="O46" s="15"/>
      <c r="P46" s="15"/>
      <c r="Q46" s="15"/>
      <c r="R46" s="15"/>
      <c r="S46" s="15"/>
      <c r="T46" s="15"/>
      <c r="U46" s="15"/>
      <c r="V46" s="15"/>
      <c r="W46" s="15"/>
      <c r="X46" s="15"/>
      <c r="Y46" s="15"/>
      <c r="Z46" s="15"/>
    </row>
    <row r="47" spans="1:26" ht="75.75" thickBot="1" x14ac:dyDescent="0.3">
      <c r="A47" s="17" t="s">
        <v>83</v>
      </c>
      <c r="B47" s="22" t="s">
        <v>462</v>
      </c>
      <c r="C47" s="22" t="s">
        <v>84</v>
      </c>
      <c r="D47" s="23">
        <v>2</v>
      </c>
      <c r="E47" s="24" t="s">
        <v>860</v>
      </c>
      <c r="F47" s="25">
        <v>24</v>
      </c>
      <c r="G47" s="25">
        <v>0.24</v>
      </c>
      <c r="H47" s="15"/>
      <c r="I47" s="15"/>
      <c r="J47" s="15"/>
      <c r="K47" s="15"/>
      <c r="L47" s="15"/>
      <c r="M47" s="15"/>
      <c r="N47" s="15"/>
      <c r="O47" s="15"/>
      <c r="P47" s="15"/>
      <c r="Q47" s="15"/>
      <c r="R47" s="15"/>
      <c r="S47" s="15"/>
      <c r="T47" s="15"/>
      <c r="U47" s="15"/>
      <c r="V47" s="15"/>
      <c r="W47" s="15"/>
      <c r="X47" s="15"/>
      <c r="Y47" s="15"/>
      <c r="Z47" s="15"/>
    </row>
    <row r="48" spans="1:26" ht="75.75" thickBot="1" x14ac:dyDescent="0.3">
      <c r="A48" s="16" t="s">
        <v>85</v>
      </c>
      <c r="B48" s="18" t="s">
        <v>463</v>
      </c>
      <c r="C48" s="18" t="s">
        <v>86</v>
      </c>
      <c r="D48" s="19">
        <v>2</v>
      </c>
      <c r="E48" s="20" t="s">
        <v>861</v>
      </c>
      <c r="F48" s="21">
        <v>15.8</v>
      </c>
      <c r="G48" s="21">
        <v>0.13200000000000001</v>
      </c>
      <c r="H48" s="15"/>
      <c r="I48" s="15"/>
      <c r="J48" s="15"/>
      <c r="K48" s="15"/>
      <c r="L48" s="15"/>
      <c r="M48" s="15"/>
      <c r="N48" s="15"/>
      <c r="O48" s="15"/>
      <c r="P48" s="15"/>
      <c r="Q48" s="15"/>
      <c r="R48" s="15"/>
      <c r="S48" s="15"/>
      <c r="T48" s="15"/>
      <c r="U48" s="15"/>
      <c r="V48" s="15"/>
      <c r="W48" s="15"/>
      <c r="X48" s="15"/>
      <c r="Y48" s="15"/>
      <c r="Z48" s="15"/>
    </row>
    <row r="49" spans="1:26" ht="60.75" thickBot="1" x14ac:dyDescent="0.3">
      <c r="A49" s="17" t="s">
        <v>87</v>
      </c>
      <c r="B49" s="22" t="s">
        <v>464</v>
      </c>
      <c r="C49" s="22" t="s">
        <v>88</v>
      </c>
      <c r="D49" s="23">
        <v>1</v>
      </c>
      <c r="E49" s="24" t="s">
        <v>862</v>
      </c>
      <c r="F49" s="25">
        <v>18</v>
      </c>
      <c r="G49" s="25">
        <v>0.26900000000000002</v>
      </c>
      <c r="H49" s="15"/>
      <c r="I49" s="15"/>
      <c r="J49" s="15"/>
      <c r="K49" s="15"/>
      <c r="L49" s="15"/>
      <c r="M49" s="15"/>
      <c r="N49" s="15"/>
      <c r="O49" s="15"/>
      <c r="P49" s="15"/>
      <c r="Q49" s="15"/>
      <c r="R49" s="15"/>
      <c r="S49" s="15"/>
      <c r="T49" s="15"/>
      <c r="U49" s="15"/>
      <c r="V49" s="15"/>
      <c r="W49" s="15"/>
      <c r="X49" s="15"/>
      <c r="Y49" s="15"/>
      <c r="Z49" s="15"/>
    </row>
    <row r="50" spans="1:26" ht="105.75" thickBot="1" x14ac:dyDescent="0.3">
      <c r="A50" s="16" t="s">
        <v>89</v>
      </c>
      <c r="B50" s="18" t="s">
        <v>465</v>
      </c>
      <c r="C50" s="18" t="s">
        <v>90</v>
      </c>
      <c r="D50" s="19">
        <v>3</v>
      </c>
      <c r="E50" s="20" t="s">
        <v>863</v>
      </c>
      <c r="F50" s="21">
        <v>33</v>
      </c>
      <c r="G50" s="21">
        <v>0.26</v>
      </c>
      <c r="H50" s="15"/>
      <c r="I50" s="15"/>
      <c r="J50" s="15"/>
      <c r="K50" s="15"/>
      <c r="L50" s="15"/>
      <c r="M50" s="15"/>
      <c r="N50" s="15"/>
      <c r="O50" s="15"/>
      <c r="P50" s="15"/>
      <c r="Q50" s="15"/>
      <c r="R50" s="15"/>
      <c r="S50" s="15"/>
      <c r="T50" s="15"/>
      <c r="U50" s="15"/>
      <c r="V50" s="15"/>
      <c r="W50" s="15"/>
      <c r="X50" s="15"/>
      <c r="Y50" s="15"/>
      <c r="Z50" s="15"/>
    </row>
    <row r="51" spans="1:26" ht="45.75" thickBot="1" x14ac:dyDescent="0.3">
      <c r="A51" s="17" t="s">
        <v>91</v>
      </c>
      <c r="B51" s="22" t="s">
        <v>466</v>
      </c>
      <c r="C51" s="22" t="s">
        <v>92</v>
      </c>
      <c r="D51" s="23">
        <v>14</v>
      </c>
      <c r="E51" s="24" t="s">
        <v>864</v>
      </c>
      <c r="F51" s="25">
        <v>24</v>
      </c>
      <c r="G51" s="25">
        <v>0.4</v>
      </c>
      <c r="H51" s="15"/>
      <c r="I51" s="15"/>
      <c r="J51" s="15"/>
      <c r="K51" s="15"/>
      <c r="L51" s="15"/>
      <c r="M51" s="15"/>
      <c r="N51" s="15"/>
      <c r="O51" s="15"/>
      <c r="P51" s="15"/>
      <c r="Q51" s="15"/>
      <c r="R51" s="15"/>
      <c r="S51" s="15"/>
      <c r="T51" s="15"/>
      <c r="U51" s="15"/>
      <c r="V51" s="15"/>
      <c r="W51" s="15"/>
      <c r="X51" s="15"/>
      <c r="Y51" s="15"/>
      <c r="Z51" s="15"/>
    </row>
    <row r="52" spans="1:26" ht="45.75" thickBot="1" x14ac:dyDescent="0.3">
      <c r="A52" s="16" t="s">
        <v>93</v>
      </c>
      <c r="B52" s="18" t="s">
        <v>467</v>
      </c>
      <c r="C52" s="18" t="s">
        <v>94</v>
      </c>
      <c r="D52" s="19">
        <v>0</v>
      </c>
      <c r="E52" s="20" t="s">
        <v>865</v>
      </c>
      <c r="F52" s="21">
        <v>24</v>
      </c>
      <c r="G52" s="21">
        <v>0.4</v>
      </c>
      <c r="H52" s="15"/>
      <c r="I52" s="15"/>
      <c r="J52" s="15"/>
      <c r="K52" s="15"/>
      <c r="L52" s="15"/>
      <c r="M52" s="15"/>
      <c r="N52" s="15"/>
      <c r="O52" s="15"/>
      <c r="P52" s="15"/>
      <c r="Q52" s="15"/>
      <c r="R52" s="15"/>
      <c r="S52" s="15"/>
      <c r="T52" s="15"/>
      <c r="U52" s="15"/>
      <c r="V52" s="15"/>
      <c r="W52" s="15"/>
      <c r="X52" s="15"/>
      <c r="Y52" s="15"/>
      <c r="Z52" s="15"/>
    </row>
    <row r="53" spans="1:26" ht="60.75" thickBot="1" x14ac:dyDescent="0.3">
      <c r="A53" s="17" t="s">
        <v>95</v>
      </c>
      <c r="B53" s="22" t="s">
        <v>468</v>
      </c>
      <c r="C53" s="22" t="s">
        <v>96</v>
      </c>
      <c r="D53" s="23">
        <v>2</v>
      </c>
      <c r="E53" s="24" t="s">
        <v>866</v>
      </c>
      <c r="F53" s="25">
        <v>24</v>
      </c>
      <c r="G53" s="25">
        <v>0.26700000000000002</v>
      </c>
      <c r="H53" s="15"/>
      <c r="I53" s="15"/>
      <c r="J53" s="15"/>
      <c r="K53" s="15"/>
      <c r="L53" s="15"/>
      <c r="M53" s="15"/>
      <c r="N53" s="15"/>
      <c r="O53" s="15"/>
      <c r="P53" s="15"/>
      <c r="Q53" s="15"/>
      <c r="R53" s="15"/>
      <c r="S53" s="15"/>
      <c r="T53" s="15"/>
      <c r="U53" s="15"/>
      <c r="V53" s="15"/>
      <c r="W53" s="15"/>
      <c r="X53" s="15"/>
      <c r="Y53" s="15"/>
      <c r="Z53" s="15"/>
    </row>
    <row r="54" spans="1:26" ht="45.75" thickBot="1" x14ac:dyDescent="0.3">
      <c r="A54" s="16" t="s">
        <v>97</v>
      </c>
      <c r="B54" s="18" t="s">
        <v>469</v>
      </c>
      <c r="C54" s="18" t="s">
        <v>98</v>
      </c>
      <c r="D54" s="19">
        <v>0</v>
      </c>
      <c r="E54" s="20" t="s">
        <v>867</v>
      </c>
      <c r="F54" s="21">
        <v>24</v>
      </c>
      <c r="G54" s="21">
        <v>0.13300000000000001</v>
      </c>
      <c r="H54" s="15"/>
      <c r="I54" s="15"/>
      <c r="J54" s="15"/>
      <c r="K54" s="15"/>
      <c r="L54" s="15"/>
      <c r="M54" s="15"/>
      <c r="N54" s="15"/>
      <c r="O54" s="15"/>
      <c r="P54" s="15"/>
      <c r="Q54" s="15"/>
      <c r="R54" s="15"/>
      <c r="S54" s="15"/>
      <c r="T54" s="15"/>
      <c r="U54" s="15"/>
      <c r="V54" s="15"/>
      <c r="W54" s="15"/>
      <c r="X54" s="15"/>
      <c r="Y54" s="15"/>
      <c r="Z54" s="15"/>
    </row>
    <row r="55" spans="1:26" ht="135.75" thickBot="1" x14ac:dyDescent="0.3">
      <c r="A55" s="17" t="s">
        <v>99</v>
      </c>
      <c r="B55" s="22" t="s">
        <v>470</v>
      </c>
      <c r="C55" s="22" t="s">
        <v>100</v>
      </c>
      <c r="D55" s="23">
        <v>0</v>
      </c>
      <c r="E55" s="24" t="s">
        <v>868</v>
      </c>
      <c r="F55" s="25">
        <v>31.2</v>
      </c>
      <c r="G55" s="25">
        <v>0.20100000000000001</v>
      </c>
      <c r="H55" s="15"/>
      <c r="I55" s="15"/>
      <c r="J55" s="15"/>
      <c r="K55" s="15"/>
      <c r="L55" s="15"/>
      <c r="M55" s="15"/>
      <c r="N55" s="15"/>
      <c r="O55" s="15"/>
      <c r="P55" s="15"/>
      <c r="Q55" s="15"/>
      <c r="R55" s="15"/>
      <c r="S55" s="15"/>
      <c r="T55" s="15"/>
      <c r="U55" s="15"/>
      <c r="V55" s="15"/>
      <c r="W55" s="15"/>
      <c r="X55" s="15"/>
      <c r="Y55" s="15"/>
      <c r="Z55" s="15"/>
    </row>
    <row r="56" spans="1:26" ht="45.75" thickBot="1" x14ac:dyDescent="0.3">
      <c r="A56" s="16" t="s">
        <v>101</v>
      </c>
      <c r="B56" s="18" t="s">
        <v>471</v>
      </c>
      <c r="C56" s="18" t="s">
        <v>102</v>
      </c>
      <c r="D56" s="19">
        <v>1</v>
      </c>
      <c r="E56" s="20" t="s">
        <v>869</v>
      </c>
      <c r="F56" s="21">
        <v>15</v>
      </c>
      <c r="G56" s="21">
        <v>0.16700000000000001</v>
      </c>
      <c r="H56" s="15"/>
      <c r="I56" s="15"/>
      <c r="J56" s="15"/>
      <c r="K56" s="15"/>
      <c r="L56" s="15"/>
      <c r="M56" s="15"/>
      <c r="N56" s="15"/>
      <c r="O56" s="15"/>
      <c r="P56" s="15"/>
      <c r="Q56" s="15"/>
      <c r="R56" s="15"/>
      <c r="S56" s="15"/>
      <c r="T56" s="15"/>
      <c r="U56" s="15"/>
      <c r="V56" s="15"/>
      <c r="W56" s="15"/>
      <c r="X56" s="15"/>
      <c r="Y56" s="15"/>
      <c r="Z56" s="15"/>
    </row>
    <row r="57" spans="1:26" ht="90.75" thickBot="1" x14ac:dyDescent="0.3">
      <c r="A57" s="17" t="s">
        <v>103</v>
      </c>
      <c r="B57" s="22" t="s">
        <v>472</v>
      </c>
      <c r="C57" s="22" t="s">
        <v>104</v>
      </c>
      <c r="D57" s="23">
        <v>3</v>
      </c>
      <c r="E57" s="24" t="s">
        <v>870</v>
      </c>
      <c r="F57" s="25">
        <v>26.8</v>
      </c>
      <c r="G57" s="25">
        <v>0.23899999999999999</v>
      </c>
      <c r="H57" s="15"/>
      <c r="I57" s="15"/>
      <c r="J57" s="15"/>
      <c r="K57" s="15"/>
      <c r="L57" s="15"/>
      <c r="M57" s="15"/>
      <c r="N57" s="15"/>
      <c r="O57" s="15"/>
      <c r="P57" s="15"/>
      <c r="Q57" s="15"/>
      <c r="R57" s="15"/>
      <c r="S57" s="15"/>
      <c r="T57" s="15"/>
      <c r="U57" s="15"/>
      <c r="V57" s="15"/>
      <c r="W57" s="15"/>
      <c r="X57" s="15"/>
      <c r="Y57" s="15"/>
      <c r="Z57" s="15"/>
    </row>
    <row r="58" spans="1:26" ht="60.75" thickBot="1" x14ac:dyDescent="0.3">
      <c r="A58" s="16" t="s">
        <v>105</v>
      </c>
      <c r="B58" s="18" t="s">
        <v>473</v>
      </c>
      <c r="C58" s="18" t="s">
        <v>106</v>
      </c>
      <c r="D58" s="19">
        <v>5</v>
      </c>
      <c r="E58" s="20" t="s">
        <v>871</v>
      </c>
      <c r="F58" s="21">
        <v>24</v>
      </c>
      <c r="G58" s="21">
        <v>0.16600000000000001</v>
      </c>
      <c r="H58" s="15"/>
      <c r="I58" s="15"/>
      <c r="J58" s="15"/>
      <c r="K58" s="15"/>
      <c r="L58" s="15"/>
      <c r="M58" s="15"/>
      <c r="N58" s="15"/>
      <c r="O58" s="15"/>
      <c r="P58" s="15"/>
      <c r="Q58" s="15"/>
      <c r="R58" s="15"/>
      <c r="S58" s="15"/>
      <c r="T58" s="15"/>
      <c r="U58" s="15"/>
      <c r="V58" s="15"/>
      <c r="W58" s="15"/>
      <c r="X58" s="15"/>
      <c r="Y58" s="15"/>
      <c r="Z58" s="15"/>
    </row>
    <row r="59" spans="1:26" ht="60.75" thickBot="1" x14ac:dyDescent="0.3">
      <c r="A59" s="17" t="s">
        <v>107</v>
      </c>
      <c r="B59" s="22" t="s">
        <v>474</v>
      </c>
      <c r="C59" s="22" t="s">
        <v>108</v>
      </c>
      <c r="D59" s="23">
        <v>0</v>
      </c>
      <c r="E59" s="24" t="s">
        <v>872</v>
      </c>
      <c r="F59" s="25">
        <v>22.8</v>
      </c>
      <c r="G59" s="25">
        <v>0.253</v>
      </c>
      <c r="H59" s="15"/>
      <c r="I59" s="15"/>
      <c r="J59" s="15"/>
      <c r="K59" s="15"/>
      <c r="L59" s="15"/>
      <c r="M59" s="15"/>
      <c r="N59" s="15"/>
      <c r="O59" s="15"/>
      <c r="P59" s="15"/>
      <c r="Q59" s="15"/>
      <c r="R59" s="15"/>
      <c r="S59" s="15"/>
      <c r="T59" s="15"/>
      <c r="U59" s="15"/>
      <c r="V59" s="15"/>
      <c r="W59" s="15"/>
      <c r="X59" s="15"/>
      <c r="Y59" s="15"/>
      <c r="Z59" s="15"/>
    </row>
    <row r="60" spans="1:26" ht="45.75" thickBot="1" x14ac:dyDescent="0.3">
      <c r="A60" s="16" t="s">
        <v>109</v>
      </c>
      <c r="B60" s="18" t="s">
        <v>475</v>
      </c>
      <c r="C60" s="18" t="s">
        <v>110</v>
      </c>
      <c r="D60" s="19">
        <v>0</v>
      </c>
      <c r="E60" s="20" t="s">
        <v>873</v>
      </c>
      <c r="F60" s="21">
        <v>26.1</v>
      </c>
      <c r="G60" s="21">
        <v>0.26100000000000001</v>
      </c>
      <c r="H60" s="15"/>
      <c r="I60" s="15"/>
      <c r="J60" s="15"/>
      <c r="K60" s="15"/>
      <c r="L60" s="15"/>
      <c r="M60" s="15"/>
      <c r="N60" s="15"/>
      <c r="O60" s="15"/>
      <c r="P60" s="15"/>
      <c r="Q60" s="15"/>
      <c r="R60" s="15"/>
      <c r="S60" s="15"/>
      <c r="T60" s="15"/>
      <c r="U60" s="15"/>
      <c r="V60" s="15"/>
      <c r="W60" s="15"/>
      <c r="X60" s="15"/>
      <c r="Y60" s="15"/>
      <c r="Z60" s="15"/>
    </row>
    <row r="61" spans="1:26" ht="75.75" thickBot="1" x14ac:dyDescent="0.3">
      <c r="A61" s="17" t="s">
        <v>111</v>
      </c>
      <c r="B61" s="22" t="s">
        <v>476</v>
      </c>
      <c r="C61" s="22" t="s">
        <v>112</v>
      </c>
      <c r="D61" s="23">
        <v>1</v>
      </c>
      <c r="E61" s="24" t="s">
        <v>874</v>
      </c>
      <c r="F61" s="25">
        <v>24</v>
      </c>
      <c r="G61" s="25">
        <v>0.27</v>
      </c>
      <c r="H61" s="15"/>
      <c r="I61" s="15"/>
      <c r="J61" s="15"/>
      <c r="K61" s="15"/>
      <c r="L61" s="15"/>
      <c r="M61" s="15"/>
      <c r="N61" s="15"/>
      <c r="O61" s="15"/>
      <c r="P61" s="15"/>
      <c r="Q61" s="15"/>
      <c r="R61" s="15"/>
      <c r="S61" s="15"/>
      <c r="T61" s="15"/>
      <c r="U61" s="15"/>
      <c r="V61" s="15"/>
      <c r="W61" s="15"/>
      <c r="X61" s="15"/>
      <c r="Y61" s="15"/>
      <c r="Z61" s="15"/>
    </row>
    <row r="62" spans="1:26" ht="45.75" thickBot="1" x14ac:dyDescent="0.3">
      <c r="A62" s="16" t="s">
        <v>113</v>
      </c>
      <c r="B62" s="18" t="s">
        <v>477</v>
      </c>
      <c r="C62" s="18" t="s">
        <v>114</v>
      </c>
      <c r="D62" s="19">
        <v>0</v>
      </c>
      <c r="E62" s="20" t="s">
        <v>875</v>
      </c>
      <c r="F62" s="21">
        <v>18</v>
      </c>
      <c r="G62" s="21">
        <v>0.4</v>
      </c>
      <c r="H62" s="15"/>
      <c r="I62" s="15"/>
      <c r="J62" s="15"/>
      <c r="K62" s="15"/>
      <c r="L62" s="15"/>
      <c r="M62" s="15"/>
      <c r="N62" s="15"/>
      <c r="O62" s="15"/>
      <c r="P62" s="15"/>
      <c r="Q62" s="15"/>
      <c r="R62" s="15"/>
      <c r="S62" s="15"/>
      <c r="T62" s="15"/>
      <c r="U62" s="15"/>
      <c r="V62" s="15"/>
      <c r="W62" s="15"/>
      <c r="X62" s="15"/>
      <c r="Y62" s="15"/>
      <c r="Z62" s="15"/>
    </row>
    <row r="63" spans="1:26" ht="75.75" thickBot="1" x14ac:dyDescent="0.3">
      <c r="A63" s="17" t="s">
        <v>115</v>
      </c>
      <c r="B63" s="22" t="s">
        <v>478</v>
      </c>
      <c r="C63" s="22" t="s">
        <v>116</v>
      </c>
      <c r="D63" s="23">
        <v>0</v>
      </c>
      <c r="E63" s="24" t="s">
        <v>876</v>
      </c>
      <c r="F63" s="25">
        <v>27</v>
      </c>
      <c r="G63" s="25">
        <v>0.18</v>
      </c>
      <c r="H63" s="15"/>
      <c r="I63" s="15"/>
      <c r="J63" s="15"/>
      <c r="K63" s="15"/>
      <c r="L63" s="15"/>
      <c r="M63" s="15"/>
      <c r="N63" s="15"/>
      <c r="O63" s="15"/>
      <c r="P63" s="15"/>
      <c r="Q63" s="15"/>
      <c r="R63" s="15"/>
      <c r="S63" s="15"/>
      <c r="T63" s="15"/>
      <c r="U63" s="15"/>
      <c r="V63" s="15"/>
      <c r="W63" s="15"/>
      <c r="X63" s="15"/>
      <c r="Y63" s="15"/>
      <c r="Z63" s="15"/>
    </row>
    <row r="64" spans="1:26" ht="60.75" thickBot="1" x14ac:dyDescent="0.3">
      <c r="A64" s="16" t="s">
        <v>117</v>
      </c>
      <c r="B64" s="18" t="s">
        <v>479</v>
      </c>
      <c r="C64" s="18" t="s">
        <v>118</v>
      </c>
      <c r="D64" s="19">
        <v>3</v>
      </c>
      <c r="E64" s="20" t="s">
        <v>877</v>
      </c>
      <c r="F64" s="21">
        <v>16.8</v>
      </c>
      <c r="G64" s="21">
        <v>0.28000000000000003</v>
      </c>
      <c r="H64" s="15"/>
      <c r="I64" s="15"/>
      <c r="J64" s="15"/>
      <c r="K64" s="15"/>
      <c r="L64" s="15"/>
      <c r="M64" s="15"/>
      <c r="N64" s="15"/>
      <c r="O64" s="15"/>
      <c r="P64" s="15"/>
      <c r="Q64" s="15"/>
      <c r="R64" s="15"/>
      <c r="S64" s="15"/>
      <c r="T64" s="15"/>
      <c r="U64" s="15"/>
      <c r="V64" s="15"/>
      <c r="W64" s="15"/>
      <c r="X64" s="15"/>
      <c r="Y64" s="15"/>
      <c r="Z64" s="15"/>
    </row>
    <row r="65" spans="1:26" ht="45.75" thickBot="1" x14ac:dyDescent="0.3">
      <c r="A65" s="17" t="s">
        <v>119</v>
      </c>
      <c r="B65" s="22" t="s">
        <v>480</v>
      </c>
      <c r="C65" s="22" t="s">
        <v>120</v>
      </c>
      <c r="D65" s="23">
        <v>1</v>
      </c>
      <c r="E65" s="24" t="s">
        <v>878</v>
      </c>
      <c r="F65" s="25">
        <v>24</v>
      </c>
      <c r="G65" s="25">
        <v>0.32</v>
      </c>
      <c r="H65" s="15"/>
      <c r="I65" s="15"/>
      <c r="J65" s="15"/>
      <c r="K65" s="15"/>
      <c r="L65" s="15"/>
      <c r="M65" s="15"/>
      <c r="N65" s="15"/>
      <c r="O65" s="15"/>
      <c r="P65" s="15"/>
      <c r="Q65" s="15"/>
      <c r="R65" s="15"/>
      <c r="S65" s="15"/>
      <c r="T65" s="15"/>
      <c r="U65" s="15"/>
      <c r="V65" s="15"/>
      <c r="W65" s="15"/>
      <c r="X65" s="15"/>
      <c r="Y65" s="15"/>
      <c r="Z65" s="15"/>
    </row>
    <row r="66" spans="1:26" ht="45.75" thickBot="1" x14ac:dyDescent="0.3">
      <c r="A66" s="16" t="s">
        <v>121</v>
      </c>
      <c r="B66" s="18" t="s">
        <v>481</v>
      </c>
      <c r="C66" s="18" t="s">
        <v>122</v>
      </c>
      <c r="D66" s="19">
        <v>1</v>
      </c>
      <c r="E66" s="20" t="s">
        <v>879</v>
      </c>
      <c r="F66" s="21">
        <v>18</v>
      </c>
      <c r="G66" s="21">
        <v>0.2</v>
      </c>
      <c r="H66" s="15"/>
      <c r="I66" s="15"/>
      <c r="J66" s="15"/>
      <c r="K66" s="15"/>
      <c r="L66" s="15"/>
      <c r="M66" s="15"/>
      <c r="N66" s="15"/>
      <c r="O66" s="15"/>
      <c r="P66" s="15"/>
      <c r="Q66" s="15"/>
      <c r="R66" s="15"/>
      <c r="S66" s="15"/>
      <c r="T66" s="15"/>
      <c r="U66" s="15"/>
      <c r="V66" s="15"/>
      <c r="W66" s="15"/>
      <c r="X66" s="15"/>
      <c r="Y66" s="15"/>
      <c r="Z66" s="15"/>
    </row>
    <row r="67" spans="1:26" ht="75.75" thickBot="1" x14ac:dyDescent="0.3">
      <c r="A67" s="17" t="s">
        <v>123</v>
      </c>
      <c r="B67" s="22" t="s">
        <v>482</v>
      </c>
      <c r="C67" s="22" t="s">
        <v>124</v>
      </c>
      <c r="D67" s="23">
        <v>4</v>
      </c>
      <c r="E67" s="24" t="s">
        <v>880</v>
      </c>
      <c r="F67" s="25">
        <v>19.399999999999999</v>
      </c>
      <c r="G67" s="25">
        <v>0.24299999999999999</v>
      </c>
      <c r="H67" s="15"/>
      <c r="I67" s="15"/>
      <c r="J67" s="15"/>
      <c r="K67" s="15"/>
      <c r="L67" s="15"/>
      <c r="M67" s="15"/>
      <c r="N67" s="15"/>
      <c r="O67" s="15"/>
      <c r="P67" s="15"/>
      <c r="Q67" s="15"/>
      <c r="R67" s="15"/>
      <c r="S67" s="15"/>
      <c r="T67" s="15"/>
      <c r="U67" s="15"/>
      <c r="V67" s="15"/>
      <c r="W67" s="15"/>
      <c r="X67" s="15"/>
      <c r="Y67" s="15"/>
      <c r="Z67" s="15"/>
    </row>
    <row r="68" spans="1:26" ht="75.75" thickBot="1" x14ac:dyDescent="0.3">
      <c r="A68" s="16" t="s">
        <v>125</v>
      </c>
      <c r="B68" s="18" t="s">
        <v>483</v>
      </c>
      <c r="C68" s="18" t="s">
        <v>126</v>
      </c>
      <c r="D68" s="19">
        <v>8</v>
      </c>
      <c r="E68" s="20" t="s">
        <v>881</v>
      </c>
      <c r="F68" s="21">
        <v>30</v>
      </c>
      <c r="G68" s="21">
        <v>0.27300000000000002</v>
      </c>
      <c r="H68" s="15"/>
      <c r="I68" s="15"/>
      <c r="J68" s="15"/>
      <c r="K68" s="15"/>
      <c r="L68" s="15"/>
      <c r="M68" s="15"/>
      <c r="N68" s="15"/>
      <c r="O68" s="15"/>
      <c r="P68" s="15"/>
      <c r="Q68" s="15"/>
      <c r="R68" s="15"/>
      <c r="S68" s="15"/>
      <c r="T68" s="15"/>
      <c r="U68" s="15"/>
      <c r="V68" s="15"/>
      <c r="W68" s="15"/>
      <c r="X68" s="15"/>
      <c r="Y68" s="15"/>
      <c r="Z68" s="15"/>
    </row>
    <row r="69" spans="1:26" ht="105.75" thickBot="1" x14ac:dyDescent="0.3">
      <c r="A69" s="17" t="s">
        <v>127</v>
      </c>
      <c r="B69" s="22" t="s">
        <v>484</v>
      </c>
      <c r="C69" s="22" t="s">
        <v>128</v>
      </c>
      <c r="D69" s="23">
        <v>3</v>
      </c>
      <c r="E69" s="24" t="s">
        <v>882</v>
      </c>
      <c r="F69" s="25">
        <v>27</v>
      </c>
      <c r="G69" s="25">
        <v>0.22500000000000001</v>
      </c>
      <c r="H69" s="15"/>
      <c r="I69" s="15"/>
      <c r="J69" s="15"/>
      <c r="K69" s="15"/>
      <c r="L69" s="15"/>
      <c r="M69" s="15"/>
      <c r="N69" s="15"/>
      <c r="O69" s="15"/>
      <c r="P69" s="15"/>
      <c r="Q69" s="15"/>
      <c r="R69" s="15"/>
      <c r="S69" s="15"/>
      <c r="T69" s="15"/>
      <c r="U69" s="15"/>
      <c r="V69" s="15"/>
      <c r="W69" s="15"/>
      <c r="X69" s="15"/>
      <c r="Y69" s="15"/>
      <c r="Z69" s="15"/>
    </row>
    <row r="70" spans="1:26" ht="75.75" thickBot="1" x14ac:dyDescent="0.3">
      <c r="A70" s="16" t="s">
        <v>129</v>
      </c>
      <c r="B70" s="18" t="s">
        <v>485</v>
      </c>
      <c r="C70" s="18" t="s">
        <v>130</v>
      </c>
      <c r="D70" s="19">
        <v>2</v>
      </c>
      <c r="E70" s="20" t="s">
        <v>883</v>
      </c>
      <c r="F70" s="21">
        <v>16.899999999999999</v>
      </c>
      <c r="G70" s="21">
        <v>0.21099999999999999</v>
      </c>
      <c r="H70" s="15"/>
      <c r="I70" s="15"/>
      <c r="J70" s="15"/>
      <c r="K70" s="15"/>
      <c r="L70" s="15"/>
      <c r="M70" s="15"/>
      <c r="N70" s="15"/>
      <c r="O70" s="15"/>
      <c r="P70" s="15"/>
      <c r="Q70" s="15"/>
      <c r="R70" s="15"/>
      <c r="S70" s="15"/>
      <c r="T70" s="15"/>
      <c r="U70" s="15"/>
      <c r="V70" s="15"/>
      <c r="W70" s="15"/>
      <c r="X70" s="15"/>
      <c r="Y70" s="15"/>
      <c r="Z70" s="15"/>
    </row>
    <row r="71" spans="1:26" ht="60.75" thickBot="1" x14ac:dyDescent="0.3">
      <c r="A71" s="17" t="s">
        <v>131</v>
      </c>
      <c r="B71" s="22" t="s">
        <v>486</v>
      </c>
      <c r="C71" s="22" t="s">
        <v>132</v>
      </c>
      <c r="D71" s="23">
        <v>9</v>
      </c>
      <c r="E71" s="24" t="s">
        <v>884</v>
      </c>
      <c r="F71" s="25">
        <v>24</v>
      </c>
      <c r="G71" s="25">
        <v>0.24</v>
      </c>
      <c r="H71" s="15"/>
      <c r="I71" s="15"/>
      <c r="J71" s="15"/>
      <c r="K71" s="15"/>
      <c r="L71" s="15"/>
      <c r="M71" s="15"/>
      <c r="N71" s="15"/>
      <c r="O71" s="15"/>
      <c r="P71" s="15"/>
      <c r="Q71" s="15"/>
      <c r="R71" s="15"/>
      <c r="S71" s="15"/>
      <c r="T71" s="15"/>
      <c r="U71" s="15"/>
      <c r="V71" s="15"/>
      <c r="W71" s="15"/>
      <c r="X71" s="15"/>
      <c r="Y71" s="15"/>
      <c r="Z71" s="15"/>
    </row>
    <row r="72" spans="1:26" ht="75.75" thickBot="1" x14ac:dyDescent="0.3">
      <c r="A72" s="16" t="s">
        <v>133</v>
      </c>
      <c r="B72" s="18" t="s">
        <v>487</v>
      </c>
      <c r="C72" s="18" t="s">
        <v>134</v>
      </c>
      <c r="D72" s="19">
        <v>0</v>
      </c>
      <c r="E72" s="20" t="s">
        <v>885</v>
      </c>
      <c r="F72" s="21">
        <v>24</v>
      </c>
      <c r="G72" s="21">
        <v>0.28199999999999997</v>
      </c>
      <c r="H72" s="15"/>
      <c r="I72" s="15"/>
      <c r="J72" s="15"/>
      <c r="K72" s="15"/>
      <c r="L72" s="15"/>
      <c r="M72" s="15"/>
      <c r="N72" s="15"/>
      <c r="O72" s="15"/>
      <c r="P72" s="15"/>
      <c r="Q72" s="15"/>
      <c r="R72" s="15"/>
      <c r="S72" s="15"/>
      <c r="T72" s="15"/>
      <c r="U72" s="15"/>
      <c r="V72" s="15"/>
      <c r="W72" s="15"/>
      <c r="X72" s="15"/>
      <c r="Y72" s="15"/>
      <c r="Z72" s="15"/>
    </row>
    <row r="73" spans="1:26" ht="60.75" thickBot="1" x14ac:dyDescent="0.3">
      <c r="A73" s="17" t="s">
        <v>135</v>
      </c>
      <c r="B73" s="22" t="s">
        <v>488</v>
      </c>
      <c r="C73" s="22" t="s">
        <v>136</v>
      </c>
      <c r="D73" s="23">
        <v>2</v>
      </c>
      <c r="E73" s="24" t="s">
        <v>886</v>
      </c>
      <c r="F73" s="25">
        <v>16.399999999999999</v>
      </c>
      <c r="G73" s="25">
        <v>0.245</v>
      </c>
      <c r="H73" s="15"/>
      <c r="I73" s="15"/>
      <c r="J73" s="15"/>
      <c r="K73" s="15"/>
      <c r="L73" s="15"/>
      <c r="M73" s="15"/>
      <c r="N73" s="15"/>
      <c r="O73" s="15"/>
      <c r="P73" s="15"/>
      <c r="Q73" s="15"/>
      <c r="R73" s="15"/>
      <c r="S73" s="15"/>
      <c r="T73" s="15"/>
      <c r="U73" s="15"/>
      <c r="V73" s="15"/>
      <c r="W73" s="15"/>
      <c r="X73" s="15"/>
      <c r="Y73" s="15"/>
      <c r="Z73" s="15"/>
    </row>
    <row r="74" spans="1:26" ht="60.75" thickBot="1" x14ac:dyDescent="0.3">
      <c r="A74" s="16" t="s">
        <v>137</v>
      </c>
      <c r="B74" s="18" t="s">
        <v>489</v>
      </c>
      <c r="C74" s="18" t="s">
        <v>138</v>
      </c>
      <c r="D74" s="19">
        <v>21</v>
      </c>
      <c r="E74" s="20" t="s">
        <v>887</v>
      </c>
      <c r="F74" s="21">
        <v>18</v>
      </c>
      <c r="G74" s="21">
        <v>0.1</v>
      </c>
      <c r="H74" s="15"/>
      <c r="I74" s="15"/>
      <c r="J74" s="15"/>
      <c r="K74" s="15"/>
      <c r="L74" s="15"/>
      <c r="M74" s="15"/>
      <c r="N74" s="15"/>
      <c r="O74" s="15"/>
      <c r="P74" s="15"/>
      <c r="Q74" s="15"/>
      <c r="R74" s="15"/>
      <c r="S74" s="15"/>
      <c r="T74" s="15"/>
      <c r="U74" s="15"/>
      <c r="V74" s="15"/>
      <c r="W74" s="15"/>
      <c r="X74" s="15"/>
      <c r="Y74" s="15"/>
      <c r="Z74" s="15"/>
    </row>
    <row r="75" spans="1:26" ht="45.75" thickBot="1" x14ac:dyDescent="0.3">
      <c r="A75" s="17" t="s">
        <v>139</v>
      </c>
      <c r="B75" s="22" t="s">
        <v>490</v>
      </c>
      <c r="C75" s="22" t="s">
        <v>140</v>
      </c>
      <c r="D75" s="23">
        <v>1</v>
      </c>
      <c r="E75" s="24" t="s">
        <v>888</v>
      </c>
      <c r="F75" s="25">
        <v>31.6</v>
      </c>
      <c r="G75" s="25">
        <v>0.186</v>
      </c>
      <c r="H75" s="15"/>
      <c r="I75" s="15"/>
      <c r="J75" s="15"/>
      <c r="K75" s="15"/>
      <c r="L75" s="15"/>
      <c r="M75" s="15"/>
      <c r="N75" s="15"/>
      <c r="O75" s="15"/>
      <c r="P75" s="15"/>
      <c r="Q75" s="15"/>
      <c r="R75" s="15"/>
      <c r="S75" s="15"/>
      <c r="T75" s="15"/>
      <c r="U75" s="15"/>
      <c r="V75" s="15"/>
      <c r="W75" s="15"/>
      <c r="X75" s="15"/>
      <c r="Y75" s="15"/>
      <c r="Z75" s="15"/>
    </row>
    <row r="76" spans="1:26" ht="75.75" thickBot="1" x14ac:dyDescent="0.3">
      <c r="A76" s="16" t="s">
        <v>141</v>
      </c>
      <c r="B76" s="18" t="s">
        <v>142</v>
      </c>
      <c r="C76" s="18" t="s">
        <v>143</v>
      </c>
      <c r="D76" s="19">
        <v>2</v>
      </c>
      <c r="E76" s="20" t="s">
        <v>889</v>
      </c>
      <c r="F76" s="21">
        <v>18.899999999999999</v>
      </c>
      <c r="G76" s="21">
        <v>0.23599999999999999</v>
      </c>
      <c r="H76" s="15"/>
      <c r="I76" s="15"/>
      <c r="J76" s="15"/>
      <c r="K76" s="15"/>
      <c r="L76" s="15"/>
      <c r="M76" s="15"/>
      <c r="N76" s="15"/>
      <c r="O76" s="15"/>
      <c r="P76" s="15"/>
      <c r="Q76" s="15"/>
      <c r="R76" s="15"/>
      <c r="S76" s="15"/>
      <c r="T76" s="15"/>
      <c r="U76" s="15"/>
      <c r="V76" s="15"/>
      <c r="W76" s="15"/>
      <c r="X76" s="15"/>
      <c r="Y76" s="15"/>
      <c r="Z76" s="15"/>
    </row>
    <row r="77" spans="1:26" ht="60.75" thickBot="1" x14ac:dyDescent="0.3">
      <c r="A77" s="17" t="s">
        <v>144</v>
      </c>
      <c r="B77" s="22" t="s">
        <v>491</v>
      </c>
      <c r="C77" s="22" t="s">
        <v>145</v>
      </c>
      <c r="D77" s="23">
        <v>0</v>
      </c>
      <c r="E77" s="24" t="s">
        <v>890</v>
      </c>
      <c r="F77" s="25">
        <v>34</v>
      </c>
      <c r="G77" s="25">
        <v>0.4</v>
      </c>
      <c r="H77" s="15"/>
      <c r="I77" s="15"/>
      <c r="J77" s="15"/>
      <c r="K77" s="15"/>
      <c r="L77" s="15"/>
      <c r="M77" s="15"/>
      <c r="N77" s="15"/>
      <c r="O77" s="15"/>
      <c r="P77" s="15"/>
      <c r="Q77" s="15"/>
      <c r="R77" s="15"/>
      <c r="S77" s="15"/>
      <c r="T77" s="15"/>
      <c r="U77" s="15"/>
      <c r="V77" s="15"/>
      <c r="W77" s="15"/>
      <c r="X77" s="15"/>
      <c r="Y77" s="15"/>
      <c r="Z77" s="15"/>
    </row>
    <row r="78" spans="1:26" ht="75.75" thickBot="1" x14ac:dyDescent="0.3">
      <c r="A78" s="16" t="s">
        <v>146</v>
      </c>
      <c r="B78" s="18" t="s">
        <v>492</v>
      </c>
      <c r="C78" s="18" t="s">
        <v>147</v>
      </c>
      <c r="D78" s="19">
        <v>0</v>
      </c>
      <c r="E78" s="20" t="s">
        <v>891</v>
      </c>
      <c r="F78" s="21">
        <v>15.3</v>
      </c>
      <c r="G78" s="21">
        <v>0.17</v>
      </c>
      <c r="H78" s="15"/>
      <c r="I78" s="15"/>
      <c r="J78" s="15"/>
      <c r="K78" s="15"/>
      <c r="L78" s="15"/>
      <c r="M78" s="15"/>
      <c r="N78" s="15"/>
      <c r="O78" s="15"/>
      <c r="P78" s="15"/>
      <c r="Q78" s="15"/>
      <c r="R78" s="15"/>
      <c r="S78" s="15"/>
      <c r="T78" s="15"/>
      <c r="U78" s="15"/>
      <c r="V78" s="15"/>
      <c r="W78" s="15"/>
      <c r="X78" s="15"/>
      <c r="Y78" s="15"/>
      <c r="Z78" s="15"/>
    </row>
    <row r="79" spans="1:26" ht="75.75" thickBot="1" x14ac:dyDescent="0.3">
      <c r="A79" s="17" t="s">
        <v>148</v>
      </c>
      <c r="B79" s="22" t="s">
        <v>493</v>
      </c>
      <c r="C79" s="22" t="s">
        <v>149</v>
      </c>
      <c r="D79" s="23">
        <v>2</v>
      </c>
      <c r="E79" s="24" t="s">
        <v>892</v>
      </c>
      <c r="F79" s="25">
        <v>19</v>
      </c>
      <c r="G79" s="25">
        <v>0.224</v>
      </c>
      <c r="H79" s="15"/>
      <c r="I79" s="15"/>
      <c r="J79" s="15"/>
      <c r="K79" s="15"/>
      <c r="L79" s="15"/>
      <c r="M79" s="15"/>
      <c r="N79" s="15"/>
      <c r="O79" s="15"/>
      <c r="P79" s="15"/>
      <c r="Q79" s="15"/>
      <c r="R79" s="15"/>
      <c r="S79" s="15"/>
      <c r="T79" s="15"/>
      <c r="U79" s="15"/>
      <c r="V79" s="15"/>
      <c r="W79" s="15"/>
      <c r="X79" s="15"/>
      <c r="Y79" s="15"/>
      <c r="Z79" s="15"/>
    </row>
    <row r="80" spans="1:26" ht="60.75" thickBot="1" x14ac:dyDescent="0.3">
      <c r="A80" s="16" t="s">
        <v>150</v>
      </c>
      <c r="B80" s="18" t="s">
        <v>494</v>
      </c>
      <c r="C80" s="18" t="s">
        <v>151</v>
      </c>
      <c r="D80" s="19">
        <v>1</v>
      </c>
      <c r="E80" s="20" t="s">
        <v>893</v>
      </c>
      <c r="F80" s="21">
        <v>35.4</v>
      </c>
      <c r="G80" s="21">
        <v>0.33700000000000002</v>
      </c>
      <c r="H80" s="15"/>
      <c r="I80" s="15"/>
      <c r="J80" s="15"/>
      <c r="K80" s="15"/>
      <c r="L80" s="15"/>
      <c r="M80" s="15"/>
      <c r="N80" s="15"/>
      <c r="O80" s="15"/>
      <c r="P80" s="15"/>
      <c r="Q80" s="15"/>
      <c r="R80" s="15"/>
      <c r="S80" s="15"/>
      <c r="T80" s="15"/>
      <c r="U80" s="15"/>
      <c r="V80" s="15"/>
      <c r="W80" s="15"/>
      <c r="X80" s="15"/>
      <c r="Y80" s="15"/>
      <c r="Z80" s="15"/>
    </row>
    <row r="81" spans="1:26" ht="60.75" thickBot="1" x14ac:dyDescent="0.3">
      <c r="A81" s="17" t="s">
        <v>152</v>
      </c>
      <c r="B81" s="22" t="s">
        <v>495</v>
      </c>
      <c r="C81" s="22" t="s">
        <v>153</v>
      </c>
      <c r="D81" s="23">
        <v>1</v>
      </c>
      <c r="E81" s="24" t="s">
        <v>894</v>
      </c>
      <c r="F81" s="25">
        <v>24.5</v>
      </c>
      <c r="G81" s="25">
        <v>0.27200000000000002</v>
      </c>
      <c r="H81" s="15"/>
      <c r="I81" s="15"/>
      <c r="J81" s="15"/>
      <c r="K81" s="15"/>
      <c r="L81" s="15"/>
      <c r="M81" s="15"/>
      <c r="N81" s="15"/>
      <c r="O81" s="15"/>
      <c r="P81" s="15"/>
      <c r="Q81" s="15"/>
      <c r="R81" s="15"/>
      <c r="S81" s="15"/>
      <c r="T81" s="15"/>
      <c r="U81" s="15"/>
      <c r="V81" s="15"/>
      <c r="W81" s="15"/>
      <c r="X81" s="15"/>
      <c r="Y81" s="15"/>
      <c r="Z81" s="15"/>
    </row>
    <row r="82" spans="1:26" ht="90.75" thickBot="1" x14ac:dyDescent="0.3">
      <c r="A82" s="16" t="s">
        <v>154</v>
      </c>
      <c r="B82" s="18" t="s">
        <v>496</v>
      </c>
      <c r="C82" s="18" t="s">
        <v>155</v>
      </c>
      <c r="D82" s="19">
        <v>2</v>
      </c>
      <c r="E82" s="20" t="s">
        <v>895</v>
      </c>
      <c r="F82" s="21">
        <v>20</v>
      </c>
      <c r="G82" s="21">
        <v>0.28599999999999998</v>
      </c>
      <c r="H82" s="15"/>
      <c r="I82" s="15"/>
      <c r="J82" s="15"/>
      <c r="K82" s="15"/>
      <c r="L82" s="15"/>
      <c r="M82" s="15"/>
      <c r="N82" s="15"/>
      <c r="O82" s="15"/>
      <c r="P82" s="15"/>
      <c r="Q82" s="15"/>
      <c r="R82" s="15"/>
      <c r="S82" s="15"/>
      <c r="T82" s="15"/>
      <c r="U82" s="15"/>
      <c r="V82" s="15"/>
      <c r="W82" s="15"/>
      <c r="X82" s="15"/>
      <c r="Y82" s="15"/>
      <c r="Z82" s="15"/>
    </row>
    <row r="83" spans="1:26" ht="75.75" thickBot="1" x14ac:dyDescent="0.3">
      <c r="A83" s="17" t="s">
        <v>156</v>
      </c>
      <c r="B83" s="22" t="s">
        <v>497</v>
      </c>
      <c r="C83" s="22" t="s">
        <v>157</v>
      </c>
      <c r="D83" s="23">
        <v>2</v>
      </c>
      <c r="E83" s="24" t="s">
        <v>896</v>
      </c>
      <c r="F83" s="25">
        <v>30</v>
      </c>
      <c r="G83" s="25">
        <v>0.4</v>
      </c>
      <c r="H83" s="15"/>
      <c r="I83" s="15"/>
      <c r="J83" s="15"/>
      <c r="K83" s="15"/>
      <c r="L83" s="15"/>
      <c r="M83" s="15"/>
      <c r="N83" s="15"/>
      <c r="O83" s="15"/>
      <c r="P83" s="15"/>
      <c r="Q83" s="15"/>
      <c r="R83" s="15"/>
      <c r="S83" s="15"/>
      <c r="T83" s="15"/>
      <c r="U83" s="15"/>
      <c r="V83" s="15"/>
      <c r="W83" s="15"/>
      <c r="X83" s="15"/>
      <c r="Y83" s="15"/>
      <c r="Z83" s="15"/>
    </row>
    <row r="84" spans="1:26" ht="75.75" thickBot="1" x14ac:dyDescent="0.3">
      <c r="A84" s="16" t="s">
        <v>158</v>
      </c>
      <c r="B84" s="18" t="s">
        <v>498</v>
      </c>
      <c r="C84" s="18" t="s">
        <v>159</v>
      </c>
      <c r="D84" s="19">
        <v>3</v>
      </c>
      <c r="E84" s="20" t="s">
        <v>897</v>
      </c>
      <c r="F84" s="21">
        <v>30</v>
      </c>
      <c r="G84" s="21">
        <v>0.125</v>
      </c>
      <c r="H84" s="15"/>
      <c r="I84" s="15"/>
      <c r="J84" s="15"/>
      <c r="K84" s="15"/>
      <c r="L84" s="15"/>
      <c r="M84" s="15"/>
      <c r="N84" s="15"/>
      <c r="O84" s="15"/>
      <c r="P84" s="15"/>
      <c r="Q84" s="15"/>
      <c r="R84" s="15"/>
      <c r="S84" s="15"/>
      <c r="T84" s="15"/>
      <c r="U84" s="15"/>
      <c r="V84" s="15"/>
      <c r="W84" s="15"/>
      <c r="X84" s="15"/>
      <c r="Y84" s="15"/>
      <c r="Z84" s="15"/>
    </row>
    <row r="85" spans="1:26" ht="75.75" thickBot="1" x14ac:dyDescent="0.3">
      <c r="A85" s="17" t="s">
        <v>160</v>
      </c>
      <c r="B85" s="22" t="s">
        <v>499</v>
      </c>
      <c r="C85" s="22" t="s">
        <v>161</v>
      </c>
      <c r="D85" s="23">
        <v>3</v>
      </c>
      <c r="E85" s="24" t="s">
        <v>898</v>
      </c>
      <c r="F85" s="25">
        <v>28.8</v>
      </c>
      <c r="G85" s="25">
        <v>0.24</v>
      </c>
      <c r="H85" s="15"/>
      <c r="I85" s="15"/>
      <c r="J85" s="15"/>
      <c r="K85" s="15"/>
      <c r="L85" s="15"/>
      <c r="M85" s="15"/>
      <c r="N85" s="15"/>
      <c r="O85" s="15"/>
      <c r="P85" s="15"/>
      <c r="Q85" s="15"/>
      <c r="R85" s="15"/>
      <c r="S85" s="15"/>
      <c r="T85" s="15"/>
      <c r="U85" s="15"/>
      <c r="V85" s="15"/>
      <c r="W85" s="15"/>
      <c r="X85" s="15"/>
      <c r="Y85" s="15"/>
      <c r="Z85" s="15"/>
    </row>
    <row r="86" spans="1:26" ht="75.75" thickBot="1" x14ac:dyDescent="0.3">
      <c r="A86" s="16" t="s">
        <v>162</v>
      </c>
      <c r="B86" s="18" t="s">
        <v>500</v>
      </c>
      <c r="C86" s="18" t="s">
        <v>163</v>
      </c>
      <c r="D86" s="19">
        <v>5</v>
      </c>
      <c r="E86" s="20" t="s">
        <v>899</v>
      </c>
      <c r="F86" s="21">
        <v>24</v>
      </c>
      <c r="G86" s="21">
        <v>0.29099999999999998</v>
      </c>
      <c r="H86" s="15"/>
      <c r="I86" s="15"/>
      <c r="J86" s="15"/>
      <c r="K86" s="15"/>
      <c r="L86" s="15"/>
      <c r="M86" s="15"/>
      <c r="N86" s="15"/>
      <c r="O86" s="15"/>
      <c r="P86" s="15"/>
      <c r="Q86" s="15"/>
      <c r="R86" s="15"/>
      <c r="S86" s="15"/>
      <c r="T86" s="15"/>
      <c r="U86" s="15"/>
      <c r="V86" s="15"/>
      <c r="W86" s="15"/>
      <c r="X86" s="15"/>
      <c r="Y86" s="15"/>
      <c r="Z86" s="15"/>
    </row>
    <row r="87" spans="1:26" ht="90.75" thickBot="1" x14ac:dyDescent="0.3">
      <c r="A87" s="17" t="s">
        <v>164</v>
      </c>
      <c r="B87" s="22" t="s">
        <v>501</v>
      </c>
      <c r="C87" s="22" t="s">
        <v>165</v>
      </c>
      <c r="D87" s="23">
        <v>3</v>
      </c>
      <c r="E87" s="24" t="s">
        <v>900</v>
      </c>
      <c r="F87" s="25">
        <v>24</v>
      </c>
      <c r="G87" s="25">
        <v>0.253</v>
      </c>
      <c r="H87" s="15"/>
      <c r="I87" s="15"/>
      <c r="J87" s="15"/>
      <c r="K87" s="15"/>
      <c r="L87" s="15"/>
      <c r="M87" s="15"/>
      <c r="N87" s="15"/>
      <c r="O87" s="15"/>
      <c r="P87" s="15"/>
      <c r="Q87" s="15"/>
      <c r="R87" s="15"/>
      <c r="S87" s="15"/>
      <c r="T87" s="15"/>
      <c r="U87" s="15"/>
      <c r="V87" s="15"/>
      <c r="W87" s="15"/>
      <c r="X87" s="15"/>
      <c r="Y87" s="15"/>
      <c r="Z87" s="15"/>
    </row>
    <row r="88" spans="1:26" ht="60.75" thickBot="1" x14ac:dyDescent="0.3">
      <c r="A88" s="16" t="s">
        <v>166</v>
      </c>
      <c r="B88" s="18" t="s">
        <v>502</v>
      </c>
      <c r="C88" s="18" t="s">
        <v>167</v>
      </c>
      <c r="D88" s="19">
        <v>0</v>
      </c>
      <c r="E88" s="20" t="s">
        <v>901</v>
      </c>
      <c r="F88" s="21">
        <v>14.3</v>
      </c>
      <c r="G88" s="21">
        <v>0.23799999999999999</v>
      </c>
      <c r="H88" s="15"/>
      <c r="I88" s="15"/>
      <c r="J88" s="15"/>
      <c r="K88" s="15"/>
      <c r="L88" s="15"/>
      <c r="M88" s="15"/>
      <c r="N88" s="15"/>
      <c r="O88" s="15"/>
      <c r="P88" s="15"/>
      <c r="Q88" s="15"/>
      <c r="R88" s="15"/>
      <c r="S88" s="15"/>
      <c r="T88" s="15"/>
      <c r="U88" s="15"/>
      <c r="V88" s="15"/>
      <c r="W88" s="15"/>
      <c r="X88" s="15"/>
      <c r="Y88" s="15"/>
      <c r="Z88" s="15"/>
    </row>
    <row r="89" spans="1:26" ht="60.75" thickBot="1" x14ac:dyDescent="0.3">
      <c r="A89" s="17" t="s">
        <v>168</v>
      </c>
      <c r="B89" s="22" t="s">
        <v>503</v>
      </c>
      <c r="C89" s="22" t="s">
        <v>169</v>
      </c>
      <c r="D89" s="23">
        <v>1</v>
      </c>
      <c r="E89" s="24" t="s">
        <v>902</v>
      </c>
      <c r="F89" s="25">
        <v>25.4</v>
      </c>
      <c r="G89" s="25">
        <v>0.318</v>
      </c>
      <c r="H89" s="15"/>
      <c r="I89" s="15"/>
      <c r="J89" s="15"/>
      <c r="K89" s="15"/>
      <c r="L89" s="15"/>
      <c r="M89" s="15"/>
      <c r="N89" s="15"/>
      <c r="O89" s="15"/>
      <c r="P89" s="15"/>
      <c r="Q89" s="15"/>
      <c r="R89" s="15"/>
      <c r="S89" s="15"/>
      <c r="T89" s="15"/>
      <c r="U89" s="15"/>
      <c r="V89" s="15"/>
      <c r="W89" s="15"/>
      <c r="X89" s="15"/>
      <c r="Y89" s="15"/>
      <c r="Z89" s="15"/>
    </row>
    <row r="90" spans="1:26" ht="75.75" thickBot="1" x14ac:dyDescent="0.3">
      <c r="A90" s="16" t="s">
        <v>170</v>
      </c>
      <c r="B90" s="18" t="s">
        <v>504</v>
      </c>
      <c r="C90" s="18" t="s">
        <v>171</v>
      </c>
      <c r="D90" s="19">
        <v>2</v>
      </c>
      <c r="E90" s="20" t="s">
        <v>903</v>
      </c>
      <c r="F90" s="21">
        <v>18.2</v>
      </c>
      <c r="G90" s="21">
        <v>0.28000000000000003</v>
      </c>
      <c r="H90" s="15"/>
      <c r="I90" s="15"/>
      <c r="J90" s="15"/>
      <c r="K90" s="15"/>
      <c r="L90" s="15"/>
      <c r="M90" s="15"/>
      <c r="N90" s="15"/>
      <c r="O90" s="15"/>
      <c r="P90" s="15"/>
      <c r="Q90" s="15"/>
      <c r="R90" s="15"/>
      <c r="S90" s="15"/>
      <c r="T90" s="15"/>
      <c r="U90" s="15"/>
      <c r="V90" s="15"/>
      <c r="W90" s="15"/>
      <c r="X90" s="15"/>
      <c r="Y90" s="15"/>
      <c r="Z90" s="15"/>
    </row>
    <row r="91" spans="1:26" ht="60.75" thickBot="1" x14ac:dyDescent="0.3">
      <c r="A91" s="17" t="s">
        <v>172</v>
      </c>
      <c r="B91" s="22" t="s">
        <v>505</v>
      </c>
      <c r="C91" s="22" t="s">
        <v>173</v>
      </c>
      <c r="D91" s="23">
        <v>5</v>
      </c>
      <c r="E91" s="24" t="s">
        <v>904</v>
      </c>
      <c r="F91" s="25">
        <v>18.399999999999999</v>
      </c>
      <c r="G91" s="25">
        <v>0.112</v>
      </c>
      <c r="H91" s="15"/>
      <c r="I91" s="15"/>
      <c r="J91" s="15"/>
      <c r="K91" s="15"/>
      <c r="L91" s="15"/>
      <c r="M91" s="15"/>
      <c r="N91" s="15"/>
      <c r="O91" s="15"/>
      <c r="P91" s="15"/>
      <c r="Q91" s="15"/>
      <c r="R91" s="15"/>
      <c r="S91" s="15"/>
      <c r="T91" s="15"/>
      <c r="U91" s="15"/>
      <c r="V91" s="15"/>
      <c r="W91" s="15"/>
      <c r="X91" s="15"/>
      <c r="Y91" s="15"/>
      <c r="Z91" s="15"/>
    </row>
    <row r="92" spans="1:26" ht="75.75" thickBot="1" x14ac:dyDescent="0.3">
      <c r="A92" s="16" t="s">
        <v>174</v>
      </c>
      <c r="B92" s="18" t="s">
        <v>506</v>
      </c>
      <c r="C92" s="18" t="s">
        <v>175</v>
      </c>
      <c r="D92" s="19">
        <v>29</v>
      </c>
      <c r="E92" s="20" t="s">
        <v>905</v>
      </c>
      <c r="F92" s="21">
        <v>19.2</v>
      </c>
      <c r="G92" s="21">
        <v>0.14199999999999999</v>
      </c>
      <c r="H92" s="15"/>
      <c r="I92" s="15"/>
      <c r="J92" s="15"/>
      <c r="K92" s="15"/>
      <c r="L92" s="15"/>
      <c r="M92" s="15"/>
      <c r="N92" s="15"/>
      <c r="O92" s="15"/>
      <c r="P92" s="15"/>
      <c r="Q92" s="15"/>
      <c r="R92" s="15"/>
      <c r="S92" s="15"/>
      <c r="T92" s="15"/>
      <c r="U92" s="15"/>
      <c r="V92" s="15"/>
      <c r="W92" s="15"/>
      <c r="X92" s="15"/>
      <c r="Y92" s="15"/>
      <c r="Z92" s="15"/>
    </row>
    <row r="93" spans="1:26" ht="90.75" thickBot="1" x14ac:dyDescent="0.3">
      <c r="A93" s="17" t="s">
        <v>176</v>
      </c>
      <c r="B93" s="22" t="s">
        <v>507</v>
      </c>
      <c r="C93" s="22" t="s">
        <v>177</v>
      </c>
      <c r="D93" s="23">
        <v>2</v>
      </c>
      <c r="E93" s="24" t="s">
        <v>906</v>
      </c>
      <c r="F93" s="25">
        <v>24.8</v>
      </c>
      <c r="G93" s="25">
        <v>0.17499999999999999</v>
      </c>
      <c r="H93" s="15"/>
      <c r="I93" s="15"/>
      <c r="J93" s="15"/>
      <c r="K93" s="15"/>
      <c r="L93" s="15"/>
      <c r="M93" s="15"/>
      <c r="N93" s="15"/>
      <c r="O93" s="15"/>
      <c r="P93" s="15"/>
      <c r="Q93" s="15"/>
      <c r="R93" s="15"/>
      <c r="S93" s="15"/>
      <c r="T93" s="15"/>
      <c r="U93" s="15"/>
      <c r="V93" s="15"/>
      <c r="W93" s="15"/>
      <c r="X93" s="15"/>
      <c r="Y93" s="15"/>
      <c r="Z93" s="15"/>
    </row>
    <row r="94" spans="1:26" ht="45.75" thickBot="1" x14ac:dyDescent="0.3">
      <c r="A94" s="16" t="s">
        <v>178</v>
      </c>
      <c r="B94" s="18" t="s">
        <v>508</v>
      </c>
      <c r="C94" s="18" t="s">
        <v>179</v>
      </c>
      <c r="D94" s="19">
        <v>7</v>
      </c>
      <c r="E94" s="20" t="s">
        <v>907</v>
      </c>
      <c r="F94" s="21">
        <v>24</v>
      </c>
      <c r="G94" s="21">
        <v>0.218</v>
      </c>
      <c r="H94" s="15"/>
      <c r="I94" s="15"/>
      <c r="J94" s="15"/>
      <c r="K94" s="15"/>
      <c r="L94" s="15"/>
      <c r="M94" s="15"/>
      <c r="N94" s="15"/>
      <c r="O94" s="15"/>
      <c r="P94" s="15"/>
      <c r="Q94" s="15"/>
      <c r="R94" s="15"/>
      <c r="S94" s="15"/>
      <c r="T94" s="15"/>
      <c r="U94" s="15"/>
      <c r="V94" s="15"/>
      <c r="W94" s="15"/>
      <c r="X94" s="15"/>
      <c r="Y94" s="15"/>
      <c r="Z94" s="15"/>
    </row>
    <row r="95" spans="1:26" ht="75.75" thickBot="1" x14ac:dyDescent="0.3">
      <c r="A95" s="17" t="s">
        <v>180</v>
      </c>
      <c r="B95" s="22" t="s">
        <v>509</v>
      </c>
      <c r="C95" s="22" t="s">
        <v>181</v>
      </c>
      <c r="D95" s="23">
        <v>31</v>
      </c>
      <c r="E95" s="24" t="s">
        <v>908</v>
      </c>
      <c r="F95" s="25">
        <v>19.8</v>
      </c>
      <c r="G95" s="25">
        <v>0.189</v>
      </c>
      <c r="H95" s="15"/>
      <c r="I95" s="15"/>
      <c r="J95" s="15"/>
      <c r="K95" s="15"/>
      <c r="L95" s="15"/>
      <c r="M95" s="15"/>
      <c r="N95" s="15"/>
      <c r="O95" s="15"/>
      <c r="P95" s="15"/>
      <c r="Q95" s="15"/>
      <c r="R95" s="15"/>
      <c r="S95" s="15"/>
      <c r="T95" s="15"/>
      <c r="U95" s="15"/>
      <c r="V95" s="15"/>
      <c r="W95" s="15"/>
      <c r="X95" s="15"/>
      <c r="Y95" s="15"/>
      <c r="Z95" s="15"/>
    </row>
    <row r="96" spans="1:26" ht="60.75" thickBot="1" x14ac:dyDescent="0.3">
      <c r="A96" s="16" t="s">
        <v>420</v>
      </c>
      <c r="B96" s="18" t="s">
        <v>510</v>
      </c>
      <c r="C96" s="18" t="s">
        <v>421</v>
      </c>
      <c r="D96" s="19">
        <v>1</v>
      </c>
      <c r="E96" s="20" t="s">
        <v>909</v>
      </c>
      <c r="F96" s="21">
        <v>24</v>
      </c>
      <c r="G96" s="21">
        <v>0.123</v>
      </c>
      <c r="H96" s="15"/>
      <c r="I96" s="15"/>
      <c r="J96" s="15"/>
      <c r="K96" s="15"/>
      <c r="L96" s="15"/>
      <c r="M96" s="15"/>
      <c r="N96" s="15"/>
      <c r="O96" s="15"/>
      <c r="P96" s="15"/>
      <c r="Q96" s="15"/>
      <c r="R96" s="15"/>
      <c r="S96" s="15"/>
      <c r="T96" s="15"/>
      <c r="U96" s="15"/>
      <c r="V96" s="15"/>
      <c r="W96" s="15"/>
      <c r="X96" s="15"/>
      <c r="Y96" s="15"/>
      <c r="Z96" s="15"/>
    </row>
    <row r="97" spans="1:26" ht="60.75" thickBot="1" x14ac:dyDescent="0.3">
      <c r="A97" s="17" t="s">
        <v>182</v>
      </c>
      <c r="B97" s="22" t="s">
        <v>511</v>
      </c>
      <c r="C97" s="22" t="s">
        <v>183</v>
      </c>
      <c r="D97" s="23">
        <v>27</v>
      </c>
      <c r="E97" s="24" t="s">
        <v>910</v>
      </c>
      <c r="F97" s="25">
        <v>16</v>
      </c>
      <c r="G97" s="25">
        <v>0.123</v>
      </c>
      <c r="H97" s="15"/>
      <c r="I97" s="15"/>
      <c r="J97" s="15"/>
      <c r="K97" s="15"/>
      <c r="L97" s="15"/>
      <c r="M97" s="15"/>
      <c r="N97" s="15"/>
      <c r="O97" s="15"/>
      <c r="P97" s="15"/>
      <c r="Q97" s="15"/>
      <c r="R97" s="15"/>
      <c r="S97" s="15"/>
      <c r="T97" s="15"/>
      <c r="U97" s="15"/>
      <c r="V97" s="15"/>
      <c r="W97" s="15"/>
      <c r="X97" s="15"/>
      <c r="Y97" s="15"/>
      <c r="Z97" s="15"/>
    </row>
    <row r="98" spans="1:26" ht="45.75" thickBot="1" x14ac:dyDescent="0.3">
      <c r="A98" s="16" t="s">
        <v>184</v>
      </c>
      <c r="B98" s="18" t="s">
        <v>512</v>
      </c>
      <c r="C98" s="18" t="s">
        <v>185</v>
      </c>
      <c r="D98" s="19">
        <v>9</v>
      </c>
      <c r="E98" s="20" t="s">
        <v>911</v>
      </c>
      <c r="F98" s="21">
        <v>14</v>
      </c>
      <c r="G98" s="21">
        <v>0.11700000000000001</v>
      </c>
      <c r="H98" s="15"/>
      <c r="I98" s="15"/>
      <c r="J98" s="15"/>
      <c r="K98" s="15"/>
      <c r="L98" s="15"/>
      <c r="M98" s="15"/>
      <c r="N98" s="15"/>
      <c r="O98" s="15"/>
      <c r="P98" s="15"/>
      <c r="Q98" s="15"/>
      <c r="R98" s="15"/>
      <c r="S98" s="15"/>
      <c r="T98" s="15"/>
      <c r="U98" s="15"/>
      <c r="V98" s="15"/>
      <c r="W98" s="15"/>
      <c r="X98" s="15"/>
      <c r="Y98" s="15"/>
      <c r="Z98" s="15"/>
    </row>
    <row r="99" spans="1:26" ht="45.75" thickBot="1" x14ac:dyDescent="0.3">
      <c r="A99" s="17" t="s">
        <v>186</v>
      </c>
      <c r="B99" s="22" t="s">
        <v>513</v>
      </c>
      <c r="C99" s="22" t="s">
        <v>187</v>
      </c>
      <c r="D99" s="23">
        <v>1</v>
      </c>
      <c r="E99" s="24" t="s">
        <v>912</v>
      </c>
      <c r="F99" s="25">
        <v>32.4</v>
      </c>
      <c r="G99" s="25">
        <v>0.36</v>
      </c>
      <c r="H99" s="15"/>
      <c r="I99" s="15"/>
      <c r="J99" s="15"/>
      <c r="K99" s="15"/>
      <c r="L99" s="15"/>
      <c r="M99" s="15"/>
      <c r="N99" s="15"/>
      <c r="O99" s="15"/>
      <c r="P99" s="15"/>
      <c r="Q99" s="15"/>
      <c r="R99" s="15"/>
      <c r="S99" s="15"/>
      <c r="T99" s="15"/>
      <c r="U99" s="15"/>
      <c r="V99" s="15"/>
      <c r="W99" s="15"/>
      <c r="X99" s="15"/>
      <c r="Y99" s="15"/>
      <c r="Z99" s="15"/>
    </row>
    <row r="100" spans="1:26" ht="45.75" thickBot="1" x14ac:dyDescent="0.3">
      <c r="A100" s="16" t="s">
        <v>188</v>
      </c>
      <c r="B100" s="18" t="s">
        <v>514</v>
      </c>
      <c r="C100" s="18" t="s">
        <v>189</v>
      </c>
      <c r="D100" s="19">
        <v>0</v>
      </c>
      <c r="E100" s="20" t="s">
        <v>913</v>
      </c>
      <c r="F100" s="21">
        <v>32.4</v>
      </c>
      <c r="G100" s="21">
        <v>0.36</v>
      </c>
      <c r="H100" s="15"/>
      <c r="I100" s="15"/>
      <c r="J100" s="15"/>
      <c r="K100" s="15"/>
      <c r="L100" s="15"/>
      <c r="M100" s="15"/>
      <c r="N100" s="15"/>
      <c r="O100" s="15"/>
      <c r="P100" s="15"/>
      <c r="Q100" s="15"/>
      <c r="R100" s="15"/>
      <c r="S100" s="15"/>
      <c r="T100" s="15"/>
      <c r="U100" s="15"/>
      <c r="V100" s="15"/>
      <c r="W100" s="15"/>
      <c r="X100" s="15"/>
      <c r="Y100" s="15"/>
      <c r="Z100" s="15"/>
    </row>
    <row r="101" spans="1:26" ht="60.75" thickBot="1" x14ac:dyDescent="0.3">
      <c r="A101" s="17" t="s">
        <v>190</v>
      </c>
      <c r="B101" s="22" t="s">
        <v>515</v>
      </c>
      <c r="C101" s="22" t="s">
        <v>191</v>
      </c>
      <c r="D101" s="23">
        <v>0</v>
      </c>
      <c r="E101" s="24" t="s">
        <v>914</v>
      </c>
      <c r="F101" s="25">
        <v>20</v>
      </c>
      <c r="G101" s="25">
        <v>0.24399999999999999</v>
      </c>
      <c r="H101" s="15"/>
      <c r="I101" s="15"/>
      <c r="J101" s="15"/>
      <c r="K101" s="15"/>
      <c r="L101" s="15"/>
      <c r="M101" s="15"/>
      <c r="N101" s="15"/>
      <c r="O101" s="15"/>
      <c r="P101" s="15"/>
      <c r="Q101" s="15"/>
      <c r="R101" s="15"/>
      <c r="S101" s="15"/>
      <c r="T101" s="15"/>
      <c r="U101" s="15"/>
      <c r="V101" s="15"/>
      <c r="W101" s="15"/>
      <c r="X101" s="15"/>
      <c r="Y101" s="15"/>
      <c r="Z101" s="15"/>
    </row>
    <row r="102" spans="1:26" ht="75.75" thickBot="1" x14ac:dyDescent="0.3">
      <c r="A102" s="16" t="s">
        <v>192</v>
      </c>
      <c r="B102" s="18" t="s">
        <v>516</v>
      </c>
      <c r="C102" s="18" t="s">
        <v>193</v>
      </c>
      <c r="D102" s="19">
        <v>4</v>
      </c>
      <c r="E102" s="20" t="s">
        <v>915</v>
      </c>
      <c r="F102" s="21">
        <v>24</v>
      </c>
      <c r="G102" s="21">
        <v>0.112</v>
      </c>
      <c r="H102" s="15"/>
      <c r="I102" s="15"/>
      <c r="J102" s="15"/>
      <c r="K102" s="15"/>
      <c r="L102" s="15"/>
      <c r="M102" s="15"/>
      <c r="N102" s="15"/>
      <c r="O102" s="15"/>
      <c r="P102" s="15"/>
      <c r="Q102" s="15"/>
      <c r="R102" s="15"/>
      <c r="S102" s="15"/>
      <c r="T102" s="15"/>
      <c r="U102" s="15"/>
      <c r="V102" s="15"/>
      <c r="W102" s="15"/>
      <c r="X102" s="15"/>
      <c r="Y102" s="15"/>
      <c r="Z102" s="15"/>
    </row>
    <row r="103" spans="1:26" ht="60.75" thickBot="1" x14ac:dyDescent="0.3">
      <c r="A103" s="17" t="s">
        <v>194</v>
      </c>
      <c r="B103" s="22" t="s">
        <v>517</v>
      </c>
      <c r="C103" s="22" t="s">
        <v>195</v>
      </c>
      <c r="D103" s="23">
        <v>2</v>
      </c>
      <c r="E103" s="24" t="s">
        <v>916</v>
      </c>
      <c r="F103" s="25">
        <v>18.399999999999999</v>
      </c>
      <c r="G103" s="25">
        <v>0.112</v>
      </c>
      <c r="H103" s="15"/>
      <c r="I103" s="15"/>
      <c r="J103" s="15"/>
      <c r="K103" s="15"/>
      <c r="L103" s="15"/>
      <c r="M103" s="15"/>
      <c r="N103" s="15"/>
      <c r="O103" s="15"/>
      <c r="P103" s="15"/>
      <c r="Q103" s="15"/>
      <c r="R103" s="15"/>
      <c r="S103" s="15"/>
      <c r="T103" s="15"/>
      <c r="U103" s="15"/>
      <c r="V103" s="15"/>
      <c r="W103" s="15"/>
      <c r="X103" s="15"/>
      <c r="Y103" s="15"/>
      <c r="Z103" s="15"/>
    </row>
    <row r="104" spans="1:26" ht="75.75" thickBot="1" x14ac:dyDescent="0.3">
      <c r="A104" s="16" t="s">
        <v>196</v>
      </c>
      <c r="B104" s="18" t="s">
        <v>518</v>
      </c>
      <c r="C104" s="18" t="s">
        <v>197</v>
      </c>
      <c r="D104" s="19">
        <v>23</v>
      </c>
      <c r="E104" s="20" t="s">
        <v>917</v>
      </c>
      <c r="F104" s="21">
        <v>28.8</v>
      </c>
      <c r="G104" s="21">
        <v>0.26200000000000001</v>
      </c>
      <c r="H104" s="15"/>
      <c r="I104" s="15"/>
      <c r="J104" s="15"/>
      <c r="K104" s="15"/>
      <c r="L104" s="15"/>
      <c r="M104" s="15"/>
      <c r="N104" s="15"/>
      <c r="O104" s="15"/>
      <c r="P104" s="15"/>
      <c r="Q104" s="15"/>
      <c r="R104" s="15"/>
      <c r="S104" s="15"/>
      <c r="T104" s="15"/>
      <c r="U104" s="15"/>
      <c r="V104" s="15"/>
      <c r="W104" s="15"/>
      <c r="X104" s="15"/>
      <c r="Y104" s="15"/>
      <c r="Z104" s="15"/>
    </row>
    <row r="105" spans="1:26" ht="75.75" thickBot="1" x14ac:dyDescent="0.3">
      <c r="A105" s="17" t="s">
        <v>198</v>
      </c>
      <c r="B105" s="22" t="s">
        <v>519</v>
      </c>
      <c r="C105" s="22" t="s">
        <v>199</v>
      </c>
      <c r="D105" s="23">
        <v>1</v>
      </c>
      <c r="E105" s="24" t="s">
        <v>918</v>
      </c>
      <c r="F105" s="25">
        <v>22.5</v>
      </c>
      <c r="G105" s="25">
        <v>0.3</v>
      </c>
      <c r="H105" s="15"/>
      <c r="I105" s="15"/>
      <c r="J105" s="15"/>
      <c r="K105" s="15"/>
      <c r="L105" s="15"/>
      <c r="M105" s="15"/>
      <c r="N105" s="15"/>
      <c r="O105" s="15"/>
      <c r="P105" s="15"/>
      <c r="Q105" s="15"/>
      <c r="R105" s="15"/>
      <c r="S105" s="15"/>
      <c r="T105" s="15"/>
      <c r="U105" s="15"/>
      <c r="V105" s="15"/>
      <c r="W105" s="15"/>
      <c r="X105" s="15"/>
      <c r="Y105" s="15"/>
      <c r="Z105" s="15"/>
    </row>
    <row r="106" spans="1:26" ht="60.75" thickBot="1" x14ac:dyDescent="0.3">
      <c r="A106" s="16" t="s">
        <v>200</v>
      </c>
      <c r="B106" s="18" t="s">
        <v>520</v>
      </c>
      <c r="C106" s="18" t="s">
        <v>201</v>
      </c>
      <c r="D106" s="19">
        <v>0</v>
      </c>
      <c r="E106" s="20" t="s">
        <v>919</v>
      </c>
      <c r="F106" s="21">
        <v>24</v>
      </c>
      <c r="G106" s="21">
        <v>0.1</v>
      </c>
      <c r="H106" s="15"/>
      <c r="I106" s="15"/>
      <c r="J106" s="15"/>
      <c r="K106" s="15"/>
      <c r="L106" s="15"/>
      <c r="M106" s="15"/>
      <c r="N106" s="15"/>
      <c r="O106" s="15"/>
      <c r="P106" s="15"/>
      <c r="Q106" s="15"/>
      <c r="R106" s="15"/>
      <c r="S106" s="15"/>
      <c r="T106" s="15"/>
      <c r="U106" s="15"/>
      <c r="V106" s="15"/>
      <c r="W106" s="15"/>
      <c r="X106" s="15"/>
      <c r="Y106" s="15"/>
      <c r="Z106" s="15"/>
    </row>
    <row r="107" spans="1:26" ht="75.75" thickBot="1" x14ac:dyDescent="0.3">
      <c r="A107" s="16" t="s">
        <v>203</v>
      </c>
      <c r="B107" s="18" t="s">
        <v>522</v>
      </c>
      <c r="C107" s="18" t="s">
        <v>204</v>
      </c>
      <c r="D107" s="19">
        <v>1</v>
      </c>
      <c r="E107" s="20" t="s">
        <v>921</v>
      </c>
      <c r="F107" s="21">
        <v>17.100000000000001</v>
      </c>
      <c r="G107" s="21">
        <v>0.27600000000000002</v>
      </c>
      <c r="H107" s="15"/>
      <c r="I107" s="15"/>
      <c r="J107" s="15"/>
      <c r="K107" s="15"/>
      <c r="L107" s="15"/>
      <c r="M107" s="15"/>
      <c r="N107" s="15"/>
      <c r="O107" s="15"/>
      <c r="P107" s="15"/>
      <c r="Q107" s="15"/>
      <c r="R107" s="15"/>
      <c r="S107" s="15"/>
      <c r="T107" s="15"/>
      <c r="U107" s="15"/>
      <c r="V107" s="15"/>
      <c r="W107" s="15"/>
      <c r="X107" s="15"/>
      <c r="Y107" s="15"/>
      <c r="Z107" s="15"/>
    </row>
    <row r="108" spans="1:26" ht="75.75" thickBot="1" x14ac:dyDescent="0.3">
      <c r="A108" s="17" t="s">
        <v>205</v>
      </c>
      <c r="B108" s="22" t="s">
        <v>523</v>
      </c>
      <c r="C108" s="22" t="s">
        <v>206</v>
      </c>
      <c r="D108" s="23">
        <v>0</v>
      </c>
      <c r="E108" s="24" t="s">
        <v>922</v>
      </c>
      <c r="F108" s="25">
        <v>24</v>
      </c>
      <c r="G108" s="25">
        <v>0.218</v>
      </c>
      <c r="H108" s="15"/>
      <c r="I108" s="15"/>
      <c r="J108" s="15"/>
      <c r="K108" s="15"/>
      <c r="L108" s="15"/>
      <c r="M108" s="15"/>
      <c r="N108" s="15"/>
      <c r="O108" s="15"/>
      <c r="P108" s="15"/>
      <c r="Q108" s="15"/>
      <c r="R108" s="15"/>
      <c r="S108" s="15"/>
      <c r="T108" s="15"/>
      <c r="U108" s="15"/>
      <c r="V108" s="15"/>
      <c r="W108" s="15"/>
      <c r="X108" s="15"/>
      <c r="Y108" s="15"/>
      <c r="Z108" s="15"/>
    </row>
    <row r="109" spans="1:26" ht="75.75" thickBot="1" x14ac:dyDescent="0.3">
      <c r="A109" s="16" t="s">
        <v>207</v>
      </c>
      <c r="B109" s="18" t="s">
        <v>524</v>
      </c>
      <c r="C109" s="18" t="s">
        <v>208</v>
      </c>
      <c r="D109" s="19">
        <v>1</v>
      </c>
      <c r="E109" s="20" t="s">
        <v>923</v>
      </c>
      <c r="F109" s="21">
        <v>33.299999999999997</v>
      </c>
      <c r="G109" s="21">
        <v>0.27700000000000002</v>
      </c>
      <c r="H109" s="15"/>
      <c r="I109" s="15"/>
      <c r="J109" s="15"/>
      <c r="K109" s="15"/>
      <c r="L109" s="15"/>
      <c r="M109" s="15"/>
      <c r="N109" s="15"/>
      <c r="O109" s="15"/>
      <c r="P109" s="15"/>
      <c r="Q109" s="15"/>
      <c r="R109" s="15"/>
      <c r="S109" s="15"/>
      <c r="T109" s="15"/>
      <c r="U109" s="15"/>
      <c r="V109" s="15"/>
      <c r="W109" s="15"/>
      <c r="X109" s="15"/>
      <c r="Y109" s="15"/>
      <c r="Z109" s="15"/>
    </row>
    <row r="110" spans="1:26" ht="60.75" thickBot="1" x14ac:dyDescent="0.3">
      <c r="A110" s="17" t="s">
        <v>209</v>
      </c>
      <c r="B110" s="22" t="s">
        <v>525</v>
      </c>
      <c r="C110" s="22" t="s">
        <v>210</v>
      </c>
      <c r="D110" s="23">
        <v>1</v>
      </c>
      <c r="E110" s="24" t="s">
        <v>924</v>
      </c>
      <c r="F110" s="25">
        <v>24</v>
      </c>
      <c r="G110" s="25">
        <v>0.218</v>
      </c>
      <c r="H110" s="15"/>
      <c r="I110" s="15"/>
      <c r="J110" s="15"/>
      <c r="K110" s="15"/>
      <c r="L110" s="15"/>
      <c r="M110" s="15"/>
      <c r="N110" s="15"/>
      <c r="O110" s="15"/>
      <c r="P110" s="15"/>
      <c r="Q110" s="15"/>
      <c r="R110" s="15"/>
      <c r="S110" s="15"/>
      <c r="T110" s="15"/>
      <c r="U110" s="15"/>
      <c r="V110" s="15"/>
      <c r="W110" s="15"/>
      <c r="X110" s="15"/>
      <c r="Y110" s="15"/>
      <c r="Z110" s="15"/>
    </row>
    <row r="111" spans="1:26" ht="90.75" thickBot="1" x14ac:dyDescent="0.3">
      <c r="A111" s="16" t="s">
        <v>211</v>
      </c>
      <c r="B111" s="18" t="s">
        <v>526</v>
      </c>
      <c r="C111" s="18" t="s">
        <v>212</v>
      </c>
      <c r="D111" s="19">
        <v>0</v>
      </c>
      <c r="E111" s="20" t="s">
        <v>925</v>
      </c>
      <c r="F111" s="21">
        <v>19.5</v>
      </c>
      <c r="G111" s="21">
        <v>8.6999999999999994E-2</v>
      </c>
      <c r="H111" s="15"/>
      <c r="I111" s="15"/>
      <c r="J111" s="15"/>
      <c r="K111" s="15"/>
      <c r="L111" s="15"/>
      <c r="M111" s="15"/>
      <c r="N111" s="15"/>
      <c r="O111" s="15"/>
      <c r="P111" s="15"/>
      <c r="Q111" s="15"/>
      <c r="R111" s="15"/>
      <c r="S111" s="15"/>
      <c r="T111" s="15"/>
      <c r="U111" s="15"/>
      <c r="V111" s="15"/>
      <c r="W111" s="15"/>
      <c r="X111" s="15"/>
      <c r="Y111" s="15"/>
      <c r="Z111" s="15"/>
    </row>
    <row r="112" spans="1:26" ht="45.75" thickBot="1" x14ac:dyDescent="0.3">
      <c r="A112" s="17" t="s">
        <v>642</v>
      </c>
      <c r="B112" s="22" t="s">
        <v>643</v>
      </c>
      <c r="C112" s="22" t="s">
        <v>644</v>
      </c>
      <c r="D112" s="23">
        <v>2</v>
      </c>
      <c r="E112" s="24" t="s">
        <v>926</v>
      </c>
      <c r="F112" s="25">
        <v>24</v>
      </c>
      <c r="G112" s="25">
        <v>0.123</v>
      </c>
      <c r="H112" s="15"/>
      <c r="I112" s="15"/>
      <c r="J112" s="15"/>
      <c r="K112" s="15"/>
      <c r="L112" s="15"/>
      <c r="M112" s="15"/>
      <c r="N112" s="15"/>
      <c r="O112" s="15"/>
      <c r="P112" s="15"/>
      <c r="Q112" s="15"/>
      <c r="R112" s="15"/>
      <c r="S112" s="15"/>
      <c r="T112" s="15"/>
      <c r="U112" s="15"/>
      <c r="V112" s="15"/>
      <c r="W112" s="15"/>
      <c r="X112" s="15"/>
      <c r="Y112" s="15"/>
      <c r="Z112" s="15"/>
    </row>
    <row r="113" spans="1:26" ht="60.75" thickBot="1" x14ac:dyDescent="0.3">
      <c r="A113" s="16" t="s">
        <v>213</v>
      </c>
      <c r="B113" s="18" t="s">
        <v>527</v>
      </c>
      <c r="C113" s="18" t="s">
        <v>214</v>
      </c>
      <c r="D113" s="19">
        <v>3</v>
      </c>
      <c r="E113" s="20" t="s">
        <v>927</v>
      </c>
      <c r="F113" s="21">
        <v>29.2</v>
      </c>
      <c r="G113" s="21">
        <v>0.29199999999999998</v>
      </c>
      <c r="H113" s="15"/>
      <c r="I113" s="15"/>
      <c r="J113" s="15"/>
      <c r="K113" s="15"/>
      <c r="L113" s="15"/>
      <c r="M113" s="15"/>
      <c r="N113" s="15"/>
      <c r="O113" s="15"/>
      <c r="P113" s="15"/>
      <c r="Q113" s="15"/>
      <c r="R113" s="15"/>
      <c r="S113" s="15"/>
      <c r="T113" s="15"/>
      <c r="U113" s="15"/>
      <c r="V113" s="15"/>
      <c r="W113" s="15"/>
      <c r="X113" s="15"/>
      <c r="Y113" s="15"/>
      <c r="Z113" s="15"/>
    </row>
    <row r="114" spans="1:26" ht="60.75" thickBot="1" x14ac:dyDescent="0.3">
      <c r="A114" s="17" t="s">
        <v>215</v>
      </c>
      <c r="B114" s="22" t="s">
        <v>528</v>
      </c>
      <c r="C114" s="22" t="s">
        <v>216</v>
      </c>
      <c r="D114" s="23">
        <v>2</v>
      </c>
      <c r="E114" s="24" t="s">
        <v>928</v>
      </c>
      <c r="F114" s="25">
        <v>32</v>
      </c>
      <c r="G114" s="25">
        <v>0.29099999999999998</v>
      </c>
      <c r="H114" s="15"/>
      <c r="I114" s="15"/>
      <c r="J114" s="15"/>
      <c r="K114" s="15"/>
      <c r="L114" s="15"/>
      <c r="M114" s="15"/>
      <c r="N114" s="15"/>
      <c r="O114" s="15"/>
      <c r="P114" s="15"/>
      <c r="Q114" s="15"/>
      <c r="R114" s="15"/>
      <c r="S114" s="15"/>
      <c r="T114" s="15"/>
      <c r="U114" s="15"/>
      <c r="V114" s="15"/>
      <c r="W114" s="15"/>
      <c r="X114" s="15"/>
      <c r="Y114" s="15"/>
      <c r="Z114" s="15"/>
    </row>
    <row r="115" spans="1:26" ht="105.75" thickBot="1" x14ac:dyDescent="0.3">
      <c r="A115" s="16" t="s">
        <v>217</v>
      </c>
      <c r="B115" s="18" t="s">
        <v>529</v>
      </c>
      <c r="C115" s="18" t="s">
        <v>218</v>
      </c>
      <c r="D115" s="19">
        <v>4</v>
      </c>
      <c r="E115" s="20" t="s">
        <v>929</v>
      </c>
      <c r="F115" s="21">
        <v>20.6</v>
      </c>
      <c r="G115" s="21">
        <v>0.17599999999999999</v>
      </c>
      <c r="H115" s="15"/>
      <c r="I115" s="15"/>
      <c r="J115" s="15"/>
      <c r="K115" s="15"/>
      <c r="L115" s="15"/>
      <c r="M115" s="15"/>
      <c r="N115" s="15"/>
      <c r="O115" s="15"/>
      <c r="P115" s="15"/>
      <c r="Q115" s="15"/>
      <c r="R115" s="15"/>
      <c r="S115" s="15"/>
      <c r="T115" s="15"/>
      <c r="U115" s="15"/>
      <c r="V115" s="15"/>
      <c r="W115" s="15"/>
      <c r="X115" s="15"/>
      <c r="Y115" s="15"/>
      <c r="Z115" s="15"/>
    </row>
    <row r="116" spans="1:26" ht="90.75" thickBot="1" x14ac:dyDescent="0.3">
      <c r="A116" s="17" t="s">
        <v>219</v>
      </c>
      <c r="B116" s="22" t="s">
        <v>530</v>
      </c>
      <c r="C116" s="22" t="s">
        <v>220</v>
      </c>
      <c r="D116" s="23">
        <v>6</v>
      </c>
      <c r="E116" s="24" t="s">
        <v>930</v>
      </c>
      <c r="F116" s="25">
        <v>26</v>
      </c>
      <c r="G116" s="25">
        <v>0.23599999999999999</v>
      </c>
      <c r="H116" s="15"/>
      <c r="I116" s="15"/>
      <c r="J116" s="15"/>
      <c r="K116" s="15"/>
      <c r="L116" s="15"/>
      <c r="M116" s="15"/>
      <c r="N116" s="15"/>
      <c r="O116" s="15"/>
      <c r="P116" s="15"/>
      <c r="Q116" s="15"/>
      <c r="R116" s="15"/>
      <c r="S116" s="15"/>
      <c r="T116" s="15"/>
      <c r="U116" s="15"/>
      <c r="V116" s="15"/>
      <c r="W116" s="15"/>
      <c r="X116" s="15"/>
      <c r="Y116" s="15"/>
      <c r="Z116" s="15"/>
    </row>
    <row r="117" spans="1:26" ht="45.75" thickBot="1" x14ac:dyDescent="0.3">
      <c r="A117" s="16" t="s">
        <v>221</v>
      </c>
      <c r="B117" s="18" t="s">
        <v>531</v>
      </c>
      <c r="C117" s="18" t="s">
        <v>222</v>
      </c>
      <c r="D117" s="19">
        <v>2</v>
      </c>
      <c r="E117" s="20" t="s">
        <v>931</v>
      </c>
      <c r="F117" s="21">
        <v>15</v>
      </c>
      <c r="G117" s="21">
        <v>0.16700000000000001</v>
      </c>
      <c r="H117" s="15"/>
      <c r="I117" s="15"/>
      <c r="J117" s="15"/>
      <c r="K117" s="15"/>
      <c r="L117" s="15"/>
      <c r="M117" s="15"/>
      <c r="N117" s="15"/>
      <c r="O117" s="15"/>
      <c r="P117" s="15"/>
      <c r="Q117" s="15"/>
      <c r="R117" s="15"/>
      <c r="S117" s="15"/>
      <c r="T117" s="15"/>
      <c r="U117" s="15"/>
      <c r="V117" s="15"/>
      <c r="W117" s="15"/>
      <c r="X117" s="15"/>
      <c r="Y117" s="15"/>
      <c r="Z117" s="15"/>
    </row>
    <row r="118" spans="1:26" ht="60.75" thickBot="1" x14ac:dyDescent="0.3">
      <c r="A118" s="17" t="s">
        <v>223</v>
      </c>
      <c r="B118" s="22" t="s">
        <v>532</v>
      </c>
      <c r="C118" s="22" t="s">
        <v>224</v>
      </c>
      <c r="D118" s="23">
        <v>8</v>
      </c>
      <c r="E118" s="24" t="s">
        <v>932</v>
      </c>
      <c r="F118" s="25">
        <v>33</v>
      </c>
      <c r="G118" s="25">
        <v>0.314</v>
      </c>
      <c r="H118" s="15"/>
      <c r="I118" s="15"/>
      <c r="J118" s="15"/>
      <c r="K118" s="15"/>
      <c r="L118" s="15"/>
      <c r="M118" s="15"/>
      <c r="N118" s="15"/>
      <c r="O118" s="15"/>
      <c r="P118" s="15"/>
      <c r="Q118" s="15"/>
      <c r="R118" s="15"/>
      <c r="S118" s="15"/>
      <c r="T118" s="15"/>
      <c r="U118" s="15"/>
      <c r="V118" s="15"/>
      <c r="W118" s="15"/>
      <c r="X118" s="15"/>
      <c r="Y118" s="15"/>
      <c r="Z118" s="15"/>
    </row>
    <row r="119" spans="1:26" ht="75.75" thickBot="1" x14ac:dyDescent="0.3">
      <c r="A119" s="16" t="s">
        <v>225</v>
      </c>
      <c r="B119" s="18" t="s">
        <v>533</v>
      </c>
      <c r="C119" s="18" t="s">
        <v>226</v>
      </c>
      <c r="D119" s="19">
        <v>2</v>
      </c>
      <c r="E119" s="20" t="s">
        <v>933</v>
      </c>
      <c r="F119" s="21">
        <v>24</v>
      </c>
      <c r="G119" s="21">
        <v>0.253</v>
      </c>
      <c r="H119" s="15"/>
      <c r="I119" s="15"/>
      <c r="J119" s="15"/>
      <c r="K119" s="15"/>
      <c r="L119" s="15"/>
      <c r="M119" s="15"/>
      <c r="N119" s="15"/>
      <c r="O119" s="15"/>
      <c r="P119" s="15"/>
      <c r="Q119" s="15"/>
      <c r="R119" s="15"/>
      <c r="S119" s="15"/>
      <c r="T119" s="15"/>
      <c r="U119" s="15"/>
      <c r="V119" s="15"/>
      <c r="W119" s="15"/>
      <c r="X119" s="15"/>
      <c r="Y119" s="15"/>
      <c r="Z119" s="15"/>
    </row>
    <row r="120" spans="1:26" ht="45.75" thickBot="1" x14ac:dyDescent="0.3">
      <c r="A120" s="17" t="s">
        <v>227</v>
      </c>
      <c r="B120" s="22" t="s">
        <v>534</v>
      </c>
      <c r="C120" s="22" t="s">
        <v>228</v>
      </c>
      <c r="D120" s="23">
        <v>1</v>
      </c>
      <c r="E120" s="24" t="s">
        <v>934</v>
      </c>
      <c r="F120" s="25">
        <v>21</v>
      </c>
      <c r="G120" s="25">
        <v>0.127</v>
      </c>
      <c r="H120" s="15"/>
      <c r="I120" s="15"/>
      <c r="J120" s="15"/>
      <c r="K120" s="15"/>
      <c r="L120" s="15"/>
      <c r="M120" s="15"/>
      <c r="N120" s="15"/>
      <c r="O120" s="15"/>
      <c r="P120" s="15"/>
      <c r="Q120" s="15"/>
      <c r="R120" s="15"/>
      <c r="S120" s="15"/>
      <c r="T120" s="15"/>
      <c r="U120" s="15"/>
      <c r="V120" s="15"/>
      <c r="W120" s="15"/>
      <c r="X120" s="15"/>
      <c r="Y120" s="15"/>
      <c r="Z120" s="15"/>
    </row>
    <row r="121" spans="1:26" ht="90.75" thickBot="1" x14ac:dyDescent="0.3">
      <c r="A121" s="16" t="s">
        <v>229</v>
      </c>
      <c r="B121" s="18" t="s">
        <v>535</v>
      </c>
      <c r="C121" s="18" t="s">
        <v>230</v>
      </c>
      <c r="D121" s="19">
        <v>4</v>
      </c>
      <c r="E121" s="20" t="s">
        <v>935</v>
      </c>
      <c r="F121" s="21">
        <v>19.2</v>
      </c>
      <c r="G121" s="21">
        <v>0.32</v>
      </c>
      <c r="H121" s="15"/>
      <c r="I121" s="15"/>
      <c r="J121" s="15"/>
      <c r="K121" s="15"/>
      <c r="L121" s="15"/>
      <c r="M121" s="15"/>
      <c r="N121" s="15"/>
      <c r="O121" s="15"/>
      <c r="P121" s="15"/>
      <c r="Q121" s="15"/>
      <c r="R121" s="15"/>
      <c r="S121" s="15"/>
      <c r="T121" s="15"/>
      <c r="U121" s="15"/>
      <c r="V121" s="15"/>
      <c r="W121" s="15"/>
      <c r="X121" s="15"/>
      <c r="Y121" s="15"/>
      <c r="Z121" s="15"/>
    </row>
    <row r="122" spans="1:26" ht="105.75" thickBot="1" x14ac:dyDescent="0.3">
      <c r="A122" s="17" t="s">
        <v>231</v>
      </c>
      <c r="B122" s="22" t="s">
        <v>536</v>
      </c>
      <c r="C122" s="22" t="s">
        <v>232</v>
      </c>
      <c r="D122" s="23">
        <v>1</v>
      </c>
      <c r="E122" s="24" t="s">
        <v>936</v>
      </c>
      <c r="F122" s="25">
        <v>32</v>
      </c>
      <c r="G122" s="25">
        <v>0.29099999999999998</v>
      </c>
      <c r="H122" s="15"/>
      <c r="I122" s="15"/>
      <c r="J122" s="15"/>
      <c r="K122" s="15"/>
      <c r="L122" s="15"/>
      <c r="M122" s="15"/>
      <c r="N122" s="15"/>
      <c r="O122" s="15"/>
      <c r="P122" s="15"/>
      <c r="Q122" s="15"/>
      <c r="R122" s="15"/>
      <c r="S122" s="15"/>
      <c r="T122" s="15"/>
      <c r="U122" s="15"/>
      <c r="V122" s="15"/>
      <c r="W122" s="15"/>
      <c r="X122" s="15"/>
      <c r="Y122" s="15"/>
      <c r="Z122" s="15"/>
    </row>
    <row r="123" spans="1:26" ht="60.75" thickBot="1" x14ac:dyDescent="0.3">
      <c r="A123" s="16" t="s">
        <v>233</v>
      </c>
      <c r="B123" s="18" t="s">
        <v>537</v>
      </c>
      <c r="C123" s="18" t="s">
        <v>234</v>
      </c>
      <c r="D123" s="19">
        <v>1</v>
      </c>
      <c r="E123" s="20" t="s">
        <v>937</v>
      </c>
      <c r="F123" s="21">
        <v>25.4</v>
      </c>
      <c r="G123" s="21">
        <v>0.318</v>
      </c>
      <c r="H123" s="15"/>
      <c r="I123" s="15"/>
      <c r="J123" s="15"/>
      <c r="K123" s="15"/>
      <c r="L123" s="15"/>
      <c r="M123" s="15"/>
      <c r="N123" s="15"/>
      <c r="O123" s="15"/>
      <c r="P123" s="15"/>
      <c r="Q123" s="15"/>
      <c r="R123" s="15"/>
      <c r="S123" s="15"/>
      <c r="T123" s="15"/>
      <c r="U123" s="15"/>
      <c r="V123" s="15"/>
      <c r="W123" s="15"/>
      <c r="X123" s="15"/>
      <c r="Y123" s="15"/>
      <c r="Z123" s="15"/>
    </row>
    <row r="124" spans="1:26" ht="60.75" thickBot="1" x14ac:dyDescent="0.3">
      <c r="A124" s="17" t="s">
        <v>235</v>
      </c>
      <c r="B124" s="22" t="s">
        <v>538</v>
      </c>
      <c r="C124" s="22" t="s">
        <v>236</v>
      </c>
      <c r="D124" s="23">
        <v>1</v>
      </c>
      <c r="E124" s="24" t="s">
        <v>938</v>
      </c>
      <c r="F124" s="25">
        <v>31.5</v>
      </c>
      <c r="G124" s="25">
        <v>0.3</v>
      </c>
      <c r="H124" s="15"/>
      <c r="I124" s="15"/>
      <c r="J124" s="15"/>
      <c r="K124" s="15"/>
      <c r="L124" s="15"/>
      <c r="M124" s="15"/>
      <c r="N124" s="15"/>
      <c r="O124" s="15"/>
      <c r="P124" s="15"/>
      <c r="Q124" s="15"/>
      <c r="R124" s="15"/>
      <c r="S124" s="15"/>
      <c r="T124" s="15"/>
      <c r="U124" s="15"/>
      <c r="V124" s="15"/>
      <c r="W124" s="15"/>
      <c r="X124" s="15"/>
      <c r="Y124" s="15"/>
      <c r="Z124" s="15"/>
    </row>
    <row r="125" spans="1:26" ht="45.75" thickBot="1" x14ac:dyDescent="0.3">
      <c r="A125" s="16" t="s">
        <v>237</v>
      </c>
      <c r="B125" s="18" t="s">
        <v>539</v>
      </c>
      <c r="C125" s="18" t="s">
        <v>238</v>
      </c>
      <c r="D125" s="19">
        <v>1</v>
      </c>
      <c r="E125" s="20" t="s">
        <v>939</v>
      </c>
      <c r="F125" s="21">
        <v>18</v>
      </c>
      <c r="G125" s="21">
        <v>0.2</v>
      </c>
      <c r="H125" s="15"/>
      <c r="I125" s="15"/>
      <c r="J125" s="15"/>
      <c r="K125" s="15"/>
      <c r="L125" s="15"/>
      <c r="M125" s="15"/>
      <c r="N125" s="15"/>
      <c r="O125" s="15"/>
      <c r="P125" s="15"/>
      <c r="Q125" s="15"/>
      <c r="R125" s="15"/>
      <c r="S125" s="15"/>
      <c r="T125" s="15"/>
      <c r="U125" s="15"/>
      <c r="V125" s="15"/>
      <c r="W125" s="15"/>
      <c r="X125" s="15"/>
      <c r="Y125" s="15"/>
      <c r="Z125" s="15"/>
    </row>
    <row r="126" spans="1:26" ht="120.75" thickBot="1" x14ac:dyDescent="0.3">
      <c r="A126" s="17" t="s">
        <v>239</v>
      </c>
      <c r="B126" s="22" t="s">
        <v>540</v>
      </c>
      <c r="C126" s="22" t="s">
        <v>240</v>
      </c>
      <c r="D126" s="23">
        <v>3</v>
      </c>
      <c r="E126" s="24" t="s">
        <v>940</v>
      </c>
      <c r="F126" s="25">
        <v>38</v>
      </c>
      <c r="G126" s="25">
        <v>0.26200000000000001</v>
      </c>
      <c r="H126" s="15"/>
      <c r="I126" s="15"/>
      <c r="J126" s="15"/>
      <c r="K126" s="15"/>
      <c r="L126" s="15"/>
      <c r="M126" s="15"/>
      <c r="N126" s="15"/>
      <c r="O126" s="15"/>
      <c r="P126" s="15"/>
      <c r="Q126" s="15"/>
      <c r="R126" s="15"/>
      <c r="S126" s="15"/>
      <c r="T126" s="15"/>
      <c r="U126" s="15"/>
      <c r="V126" s="15"/>
      <c r="W126" s="15"/>
      <c r="X126" s="15"/>
      <c r="Y126" s="15"/>
      <c r="Z126" s="15"/>
    </row>
    <row r="127" spans="1:26" ht="60.75" thickBot="1" x14ac:dyDescent="0.3">
      <c r="A127" s="16" t="s">
        <v>241</v>
      </c>
      <c r="B127" s="18" t="s">
        <v>541</v>
      </c>
      <c r="C127" s="18" t="s">
        <v>242</v>
      </c>
      <c r="D127" s="19">
        <v>0</v>
      </c>
      <c r="E127" s="20" t="s">
        <v>941</v>
      </c>
      <c r="F127" s="21">
        <v>24</v>
      </c>
      <c r="G127" s="21">
        <v>0.14499999999999999</v>
      </c>
      <c r="H127" s="15"/>
      <c r="I127" s="15"/>
      <c r="J127" s="15"/>
      <c r="K127" s="15"/>
      <c r="L127" s="15"/>
      <c r="M127" s="15"/>
      <c r="N127" s="15"/>
      <c r="O127" s="15"/>
      <c r="P127" s="15"/>
      <c r="Q127" s="15"/>
      <c r="R127" s="15"/>
      <c r="S127" s="15"/>
      <c r="T127" s="15"/>
      <c r="U127" s="15"/>
      <c r="V127" s="15"/>
      <c r="W127" s="15"/>
      <c r="X127" s="15"/>
      <c r="Y127" s="15"/>
      <c r="Z127" s="15"/>
    </row>
    <row r="128" spans="1:26" ht="90.75" thickBot="1" x14ac:dyDescent="0.3">
      <c r="A128" s="17" t="s">
        <v>243</v>
      </c>
      <c r="B128" s="22" t="s">
        <v>542</v>
      </c>
      <c r="C128" s="22" t="s">
        <v>244</v>
      </c>
      <c r="D128" s="23">
        <v>25</v>
      </c>
      <c r="E128" s="24" t="s">
        <v>942</v>
      </c>
      <c r="F128" s="25">
        <v>28.5</v>
      </c>
      <c r="G128" s="25">
        <v>0.22800000000000001</v>
      </c>
      <c r="H128" s="15"/>
      <c r="I128" s="15"/>
      <c r="J128" s="15"/>
      <c r="K128" s="15"/>
      <c r="L128" s="15"/>
      <c r="M128" s="15"/>
      <c r="N128" s="15"/>
      <c r="O128" s="15"/>
      <c r="P128" s="15"/>
      <c r="Q128" s="15"/>
      <c r="R128" s="15"/>
      <c r="S128" s="15"/>
      <c r="T128" s="15"/>
      <c r="U128" s="15"/>
      <c r="V128" s="15"/>
      <c r="W128" s="15"/>
      <c r="X128" s="15"/>
      <c r="Y128" s="15"/>
      <c r="Z128" s="15"/>
    </row>
    <row r="129" spans="1:26" ht="45.75" thickBot="1" x14ac:dyDescent="0.3">
      <c r="A129" s="16" t="s">
        <v>245</v>
      </c>
      <c r="B129" s="18" t="s">
        <v>543</v>
      </c>
      <c r="C129" s="18" t="s">
        <v>246</v>
      </c>
      <c r="D129" s="19">
        <v>39</v>
      </c>
      <c r="E129" s="20" t="s">
        <v>943</v>
      </c>
      <c r="F129" s="21">
        <v>18</v>
      </c>
      <c r="G129" s="21">
        <v>0.1</v>
      </c>
      <c r="H129" s="15"/>
      <c r="I129" s="15"/>
      <c r="J129" s="15"/>
      <c r="K129" s="15"/>
      <c r="L129" s="15"/>
      <c r="M129" s="15"/>
      <c r="N129" s="15"/>
      <c r="O129" s="15"/>
      <c r="P129" s="15"/>
      <c r="Q129" s="15"/>
      <c r="R129" s="15"/>
      <c r="S129" s="15"/>
      <c r="T129" s="15"/>
      <c r="U129" s="15"/>
      <c r="V129" s="15"/>
      <c r="W129" s="15"/>
      <c r="X129" s="15"/>
      <c r="Y129" s="15"/>
      <c r="Z129" s="15"/>
    </row>
    <row r="130" spans="1:26" ht="60.75" thickBot="1" x14ac:dyDescent="0.3">
      <c r="A130" s="17" t="s">
        <v>247</v>
      </c>
      <c r="B130" s="22" t="s">
        <v>544</v>
      </c>
      <c r="C130" s="22" t="s">
        <v>248</v>
      </c>
      <c r="D130" s="23">
        <v>1</v>
      </c>
      <c r="E130" s="24" t="s">
        <v>944</v>
      </c>
      <c r="F130" s="25">
        <v>28.8</v>
      </c>
      <c r="G130" s="25">
        <v>0.32</v>
      </c>
      <c r="H130" s="15"/>
      <c r="I130" s="15"/>
      <c r="J130" s="15"/>
      <c r="K130" s="15"/>
      <c r="L130" s="15"/>
      <c r="M130" s="15"/>
      <c r="N130" s="15"/>
      <c r="O130" s="15"/>
      <c r="P130" s="15"/>
      <c r="Q130" s="15"/>
      <c r="R130" s="15"/>
      <c r="S130" s="15"/>
      <c r="T130" s="15"/>
      <c r="U130" s="15"/>
      <c r="V130" s="15"/>
      <c r="W130" s="15"/>
      <c r="X130" s="15"/>
      <c r="Y130" s="15"/>
      <c r="Z130" s="15"/>
    </row>
    <row r="131" spans="1:26" ht="60.75" thickBot="1" x14ac:dyDescent="0.3">
      <c r="A131" s="16" t="s">
        <v>249</v>
      </c>
      <c r="B131" s="18" t="s">
        <v>545</v>
      </c>
      <c r="C131" s="18" t="s">
        <v>250</v>
      </c>
      <c r="D131" s="19">
        <v>2</v>
      </c>
      <c r="E131" s="20" t="s">
        <v>945</v>
      </c>
      <c r="F131" s="21">
        <v>28.8</v>
      </c>
      <c r="G131" s="21">
        <v>0.32</v>
      </c>
      <c r="H131" s="15"/>
      <c r="I131" s="15"/>
      <c r="J131" s="15"/>
      <c r="K131" s="15"/>
      <c r="L131" s="15"/>
      <c r="M131" s="15"/>
      <c r="N131" s="15"/>
      <c r="O131" s="15"/>
      <c r="P131" s="15"/>
      <c r="Q131" s="15"/>
      <c r="R131" s="15"/>
      <c r="S131" s="15"/>
      <c r="T131" s="15"/>
      <c r="U131" s="15"/>
      <c r="V131" s="15"/>
      <c r="W131" s="15"/>
      <c r="X131" s="15"/>
      <c r="Y131" s="15"/>
      <c r="Z131" s="15"/>
    </row>
    <row r="132" spans="1:26" ht="60.75" thickBot="1" x14ac:dyDescent="0.3">
      <c r="A132" s="17" t="s">
        <v>251</v>
      </c>
      <c r="B132" s="22" t="s">
        <v>546</v>
      </c>
      <c r="C132" s="22" t="s">
        <v>252</v>
      </c>
      <c r="D132" s="23">
        <v>1</v>
      </c>
      <c r="E132" s="24" t="s">
        <v>946</v>
      </c>
      <c r="F132" s="25">
        <v>24</v>
      </c>
      <c r="G132" s="25">
        <v>0.32</v>
      </c>
      <c r="H132" s="15"/>
      <c r="I132" s="15"/>
      <c r="J132" s="15"/>
      <c r="K132" s="15"/>
      <c r="L132" s="15"/>
      <c r="M132" s="15"/>
      <c r="N132" s="15"/>
      <c r="O132" s="15"/>
      <c r="P132" s="15"/>
      <c r="Q132" s="15"/>
      <c r="R132" s="15"/>
      <c r="S132" s="15"/>
      <c r="T132" s="15"/>
      <c r="U132" s="15"/>
      <c r="V132" s="15"/>
      <c r="W132" s="15"/>
      <c r="X132" s="15"/>
      <c r="Y132" s="15"/>
      <c r="Z132" s="15"/>
    </row>
    <row r="133" spans="1:26" ht="45.75" thickBot="1" x14ac:dyDescent="0.3">
      <c r="A133" s="16" t="s">
        <v>253</v>
      </c>
      <c r="B133" s="18" t="s">
        <v>547</v>
      </c>
      <c r="C133" s="18" t="s">
        <v>254</v>
      </c>
      <c r="D133" s="19">
        <v>6</v>
      </c>
      <c r="E133" s="20" t="s">
        <v>947</v>
      </c>
      <c r="F133" s="21">
        <v>18</v>
      </c>
      <c r="G133" s="21">
        <v>0.24</v>
      </c>
      <c r="H133" s="15"/>
      <c r="I133" s="15"/>
      <c r="J133" s="15"/>
      <c r="K133" s="15"/>
      <c r="L133" s="15"/>
      <c r="M133" s="15"/>
      <c r="N133" s="15"/>
      <c r="O133" s="15"/>
      <c r="P133" s="15"/>
      <c r="Q133" s="15"/>
      <c r="R133" s="15"/>
      <c r="S133" s="15"/>
      <c r="T133" s="15"/>
      <c r="U133" s="15"/>
      <c r="V133" s="15"/>
      <c r="W133" s="15"/>
      <c r="X133" s="15"/>
      <c r="Y133" s="15"/>
      <c r="Z133" s="15"/>
    </row>
    <row r="134" spans="1:26" ht="75.75" thickBot="1" x14ac:dyDescent="0.3">
      <c r="A134" s="17" t="s">
        <v>255</v>
      </c>
      <c r="B134" s="22" t="s">
        <v>548</v>
      </c>
      <c r="C134" s="22" t="s">
        <v>256</v>
      </c>
      <c r="D134" s="23">
        <v>19</v>
      </c>
      <c r="E134" s="24" t="s">
        <v>948</v>
      </c>
      <c r="F134" s="25">
        <v>24</v>
      </c>
      <c r="G134" s="25">
        <v>0.3</v>
      </c>
      <c r="H134" s="15"/>
      <c r="I134" s="15"/>
      <c r="J134" s="15"/>
      <c r="K134" s="15"/>
      <c r="L134" s="15"/>
      <c r="M134" s="15"/>
      <c r="N134" s="15"/>
      <c r="O134" s="15"/>
      <c r="P134" s="15"/>
      <c r="Q134" s="15"/>
      <c r="R134" s="15"/>
      <c r="S134" s="15"/>
      <c r="T134" s="15"/>
      <c r="U134" s="15"/>
      <c r="V134" s="15"/>
      <c r="W134" s="15"/>
      <c r="X134" s="15"/>
      <c r="Y134" s="15"/>
      <c r="Z134" s="15"/>
    </row>
    <row r="135" spans="1:26" ht="45.75" thickBot="1" x14ac:dyDescent="0.3">
      <c r="A135" s="16" t="s">
        <v>257</v>
      </c>
      <c r="B135" s="18" t="s">
        <v>549</v>
      </c>
      <c r="C135" s="18" t="s">
        <v>258</v>
      </c>
      <c r="D135" s="19">
        <v>2</v>
      </c>
      <c r="E135" s="20" t="s">
        <v>949</v>
      </c>
      <c r="F135" s="21">
        <v>33.6</v>
      </c>
      <c r="G135" s="21">
        <v>0.35399999999999998</v>
      </c>
      <c r="H135" s="15"/>
      <c r="I135" s="15"/>
      <c r="J135" s="15"/>
      <c r="K135" s="15"/>
      <c r="L135" s="15"/>
      <c r="M135" s="15"/>
      <c r="N135" s="15"/>
      <c r="O135" s="15"/>
      <c r="P135" s="15"/>
      <c r="Q135" s="15"/>
      <c r="R135" s="15"/>
      <c r="S135" s="15"/>
      <c r="T135" s="15"/>
      <c r="U135" s="15"/>
      <c r="V135" s="15"/>
      <c r="W135" s="15"/>
      <c r="X135" s="15"/>
      <c r="Y135" s="15"/>
      <c r="Z135" s="15"/>
    </row>
    <row r="136" spans="1:26" ht="60.75" thickBot="1" x14ac:dyDescent="0.3">
      <c r="A136" s="17" t="s">
        <v>638</v>
      </c>
      <c r="B136" s="22" t="s">
        <v>641</v>
      </c>
      <c r="C136" s="22" t="s">
        <v>950</v>
      </c>
      <c r="D136" s="23">
        <v>0</v>
      </c>
      <c r="E136" s="24" t="s">
        <v>951</v>
      </c>
      <c r="F136" s="25">
        <v>23</v>
      </c>
      <c r="G136" s="25">
        <v>0.27100000000000002</v>
      </c>
      <c r="H136" s="15"/>
      <c r="I136" s="15"/>
      <c r="J136" s="15"/>
      <c r="K136" s="15"/>
      <c r="L136" s="15"/>
      <c r="M136" s="15"/>
      <c r="N136" s="15"/>
      <c r="O136" s="15"/>
      <c r="P136" s="15"/>
      <c r="Q136" s="15"/>
      <c r="R136" s="15"/>
      <c r="S136" s="15"/>
      <c r="T136" s="15"/>
      <c r="U136" s="15"/>
      <c r="V136" s="15"/>
      <c r="W136" s="15"/>
      <c r="X136" s="15"/>
      <c r="Y136" s="15"/>
      <c r="Z136" s="15"/>
    </row>
    <row r="137" spans="1:26" ht="60.75" thickBot="1" x14ac:dyDescent="0.3">
      <c r="A137" s="16" t="s">
        <v>259</v>
      </c>
      <c r="B137" s="18" t="s">
        <v>550</v>
      </c>
      <c r="C137" s="18" t="s">
        <v>260</v>
      </c>
      <c r="D137" s="19">
        <v>4</v>
      </c>
      <c r="E137" s="20" t="s">
        <v>952</v>
      </c>
      <c r="F137" s="21">
        <v>24.3</v>
      </c>
      <c r="G137" s="21">
        <v>0.27</v>
      </c>
      <c r="H137" s="15"/>
      <c r="I137" s="15"/>
      <c r="J137" s="15"/>
      <c r="K137" s="15"/>
      <c r="L137" s="15"/>
      <c r="M137" s="15"/>
      <c r="N137" s="15"/>
      <c r="O137" s="15"/>
      <c r="P137" s="15"/>
      <c r="Q137" s="15"/>
      <c r="R137" s="15"/>
      <c r="S137" s="15"/>
      <c r="T137" s="15"/>
      <c r="U137" s="15"/>
      <c r="V137" s="15"/>
      <c r="W137" s="15"/>
      <c r="X137" s="15"/>
      <c r="Y137" s="15"/>
      <c r="Z137" s="15"/>
    </row>
    <row r="138" spans="1:26" ht="135.75" thickBot="1" x14ac:dyDescent="0.3">
      <c r="A138" s="17" t="s">
        <v>261</v>
      </c>
      <c r="B138" s="22" t="s">
        <v>551</v>
      </c>
      <c r="C138" s="22" t="s">
        <v>953</v>
      </c>
      <c r="D138" s="23">
        <v>0</v>
      </c>
      <c r="E138" s="24" t="s">
        <v>954</v>
      </c>
      <c r="F138" s="25">
        <v>18</v>
      </c>
      <c r="G138" s="25">
        <v>4.8000000000000001E-2</v>
      </c>
      <c r="H138" s="15"/>
      <c r="I138" s="15"/>
      <c r="J138" s="15"/>
      <c r="K138" s="15"/>
      <c r="L138" s="15"/>
      <c r="M138" s="15"/>
      <c r="N138" s="15"/>
      <c r="O138" s="15"/>
      <c r="P138" s="15"/>
      <c r="Q138" s="15"/>
      <c r="R138" s="15"/>
      <c r="S138" s="15"/>
      <c r="T138" s="15"/>
      <c r="U138" s="15"/>
      <c r="V138" s="15"/>
      <c r="W138" s="15"/>
      <c r="X138" s="15"/>
      <c r="Y138" s="15"/>
      <c r="Z138" s="15"/>
    </row>
    <row r="139" spans="1:26" ht="45.75" thickBot="1" x14ac:dyDescent="0.3">
      <c r="A139" s="16" t="s">
        <v>262</v>
      </c>
      <c r="B139" s="18" t="s">
        <v>552</v>
      </c>
      <c r="C139" s="18" t="s">
        <v>263</v>
      </c>
      <c r="D139" s="19">
        <v>1</v>
      </c>
      <c r="E139" s="20" t="s">
        <v>955</v>
      </c>
      <c r="F139" s="21">
        <v>24.6</v>
      </c>
      <c r="G139" s="21">
        <v>0.20499999999999999</v>
      </c>
      <c r="H139" s="15"/>
      <c r="I139" s="15"/>
      <c r="J139" s="15"/>
      <c r="K139" s="15"/>
      <c r="L139" s="15"/>
      <c r="M139" s="15"/>
      <c r="N139" s="15"/>
      <c r="O139" s="15"/>
      <c r="P139" s="15"/>
      <c r="Q139" s="15"/>
      <c r="R139" s="15"/>
      <c r="S139" s="15"/>
      <c r="T139" s="15"/>
      <c r="U139" s="15"/>
      <c r="V139" s="15"/>
      <c r="W139" s="15"/>
      <c r="X139" s="15"/>
      <c r="Y139" s="15"/>
      <c r="Z139" s="15"/>
    </row>
    <row r="140" spans="1:26" ht="60.75" thickBot="1" x14ac:dyDescent="0.3">
      <c r="A140" s="17" t="s">
        <v>264</v>
      </c>
      <c r="B140" s="22" t="s">
        <v>553</v>
      </c>
      <c r="C140" s="22" t="s">
        <v>265</v>
      </c>
      <c r="D140" s="23">
        <v>1</v>
      </c>
      <c r="E140" s="24" t="s">
        <v>956</v>
      </c>
      <c r="F140" s="25">
        <v>20.399999999999999</v>
      </c>
      <c r="G140" s="25">
        <v>0.105</v>
      </c>
      <c r="H140" s="15"/>
      <c r="I140" s="15"/>
      <c r="J140" s="15"/>
      <c r="K140" s="15"/>
      <c r="L140" s="15"/>
      <c r="M140" s="15"/>
      <c r="N140" s="15"/>
      <c r="O140" s="15"/>
      <c r="P140" s="15"/>
      <c r="Q140" s="15"/>
      <c r="R140" s="15"/>
      <c r="S140" s="15"/>
      <c r="T140" s="15"/>
      <c r="U140" s="15"/>
      <c r="V140" s="15"/>
      <c r="W140" s="15"/>
      <c r="X140" s="15"/>
      <c r="Y140" s="15"/>
      <c r="Z140" s="15"/>
    </row>
    <row r="141" spans="1:26" ht="60.75" thickBot="1" x14ac:dyDescent="0.3">
      <c r="A141" s="16" t="s">
        <v>266</v>
      </c>
      <c r="B141" s="18" t="s">
        <v>554</v>
      </c>
      <c r="C141" s="18" t="s">
        <v>267</v>
      </c>
      <c r="D141" s="19">
        <v>0</v>
      </c>
      <c r="E141" s="20" t="s">
        <v>957</v>
      </c>
      <c r="F141" s="21">
        <v>12</v>
      </c>
      <c r="G141" s="21">
        <v>0.26700000000000002</v>
      </c>
      <c r="H141" s="15"/>
      <c r="I141" s="15"/>
      <c r="J141" s="15"/>
      <c r="K141" s="15"/>
      <c r="L141" s="15"/>
      <c r="M141" s="15"/>
      <c r="N141" s="15"/>
      <c r="O141" s="15"/>
      <c r="P141" s="15"/>
      <c r="Q141" s="15"/>
      <c r="R141" s="15"/>
      <c r="S141" s="15"/>
      <c r="T141" s="15"/>
      <c r="U141" s="15"/>
      <c r="V141" s="15"/>
      <c r="W141" s="15"/>
      <c r="X141" s="15"/>
      <c r="Y141" s="15"/>
      <c r="Z141" s="15"/>
    </row>
    <row r="142" spans="1:26" ht="90.75" thickBot="1" x14ac:dyDescent="0.3">
      <c r="A142" s="17" t="s">
        <v>268</v>
      </c>
      <c r="B142" s="22" t="s">
        <v>555</v>
      </c>
      <c r="C142" s="22" t="s">
        <v>269</v>
      </c>
      <c r="D142" s="23">
        <v>11</v>
      </c>
      <c r="E142" s="24" t="s">
        <v>958</v>
      </c>
      <c r="F142" s="25">
        <v>24</v>
      </c>
      <c r="G142" s="25">
        <v>0.12</v>
      </c>
      <c r="H142" s="15"/>
      <c r="I142" s="15"/>
      <c r="J142" s="15"/>
      <c r="K142" s="15"/>
      <c r="L142" s="15"/>
      <c r="M142" s="15"/>
      <c r="N142" s="15"/>
      <c r="O142" s="15"/>
      <c r="P142" s="15"/>
      <c r="Q142" s="15"/>
      <c r="R142" s="15"/>
      <c r="S142" s="15"/>
      <c r="T142" s="15"/>
      <c r="U142" s="15"/>
      <c r="V142" s="15"/>
      <c r="W142" s="15"/>
      <c r="X142" s="15"/>
      <c r="Y142" s="15"/>
      <c r="Z142" s="15"/>
    </row>
    <row r="143" spans="1:26" ht="75.75" thickBot="1" x14ac:dyDescent="0.3">
      <c r="A143" s="17" t="s">
        <v>959</v>
      </c>
      <c r="B143" s="22" t="s">
        <v>960</v>
      </c>
      <c r="C143" s="22" t="s">
        <v>961</v>
      </c>
      <c r="D143" s="23">
        <v>3</v>
      </c>
      <c r="E143" s="24" t="s">
        <v>962</v>
      </c>
      <c r="F143" s="25">
        <v>0</v>
      </c>
      <c r="G143" s="25">
        <v>0</v>
      </c>
      <c r="H143" s="15"/>
      <c r="I143" s="15"/>
      <c r="J143" s="15"/>
      <c r="K143" s="15"/>
      <c r="L143" s="15"/>
      <c r="M143" s="15"/>
      <c r="N143" s="15"/>
      <c r="O143" s="15"/>
      <c r="P143" s="15"/>
      <c r="Q143" s="15"/>
      <c r="R143" s="15"/>
      <c r="S143" s="15"/>
      <c r="T143" s="15"/>
      <c r="U143" s="15"/>
      <c r="V143" s="15"/>
      <c r="W143" s="15"/>
      <c r="X143" s="15"/>
      <c r="Y143" s="15"/>
      <c r="Z143" s="15"/>
    </row>
    <row r="144" spans="1:26" ht="45.75" thickBot="1" x14ac:dyDescent="0.3">
      <c r="A144" s="16" t="s">
        <v>270</v>
      </c>
      <c r="B144" s="18" t="s">
        <v>556</v>
      </c>
      <c r="C144" s="18" t="s">
        <v>271</v>
      </c>
      <c r="D144" s="19">
        <v>340</v>
      </c>
      <c r="E144" s="20" t="s">
        <v>963</v>
      </c>
      <c r="F144" s="21">
        <v>24</v>
      </c>
      <c r="G144" s="21">
        <v>0.123</v>
      </c>
      <c r="H144" s="15"/>
      <c r="I144" s="15"/>
      <c r="J144" s="15"/>
      <c r="K144" s="15"/>
      <c r="L144" s="15"/>
      <c r="M144" s="15"/>
      <c r="N144" s="15"/>
      <c r="O144" s="15"/>
      <c r="P144" s="15"/>
      <c r="Q144" s="15"/>
      <c r="R144" s="15"/>
      <c r="S144" s="15"/>
      <c r="T144" s="15"/>
      <c r="U144" s="15"/>
      <c r="V144" s="15"/>
      <c r="W144" s="15"/>
      <c r="X144" s="15"/>
      <c r="Y144" s="15"/>
      <c r="Z144" s="15"/>
    </row>
    <row r="145" spans="1:26" ht="60.75" thickBot="1" x14ac:dyDescent="0.3">
      <c r="A145" s="17" t="s">
        <v>272</v>
      </c>
      <c r="B145" s="22" t="s">
        <v>557</v>
      </c>
      <c r="C145" s="22" t="s">
        <v>273</v>
      </c>
      <c r="D145" s="23">
        <v>0</v>
      </c>
      <c r="E145" s="24" t="s">
        <v>964</v>
      </c>
      <c r="F145" s="25">
        <v>35.1</v>
      </c>
      <c r="G145" s="25">
        <v>0.23400000000000001</v>
      </c>
      <c r="H145" s="15"/>
      <c r="I145" s="15"/>
      <c r="J145" s="15"/>
      <c r="K145" s="15"/>
      <c r="L145" s="15"/>
      <c r="M145" s="15"/>
      <c r="N145" s="15"/>
      <c r="O145" s="15"/>
      <c r="P145" s="15"/>
      <c r="Q145" s="15"/>
      <c r="R145" s="15"/>
      <c r="S145" s="15"/>
      <c r="T145" s="15"/>
      <c r="U145" s="15"/>
      <c r="V145" s="15"/>
      <c r="W145" s="15"/>
      <c r="X145" s="15"/>
      <c r="Y145" s="15"/>
      <c r="Z145" s="15"/>
    </row>
    <row r="146" spans="1:26" ht="60.75" thickBot="1" x14ac:dyDescent="0.3">
      <c r="A146" s="16" t="s">
        <v>274</v>
      </c>
      <c r="B146" s="18" t="s">
        <v>558</v>
      </c>
      <c r="C146" s="18" t="s">
        <v>275</v>
      </c>
      <c r="D146" s="19">
        <v>5</v>
      </c>
      <c r="E146" s="20" t="s">
        <v>965</v>
      </c>
      <c r="F146" s="21">
        <v>18.2</v>
      </c>
      <c r="G146" s="21">
        <v>0.22700000000000001</v>
      </c>
      <c r="H146" s="15"/>
      <c r="I146" s="15"/>
      <c r="J146" s="15"/>
      <c r="K146" s="15"/>
      <c r="L146" s="15"/>
      <c r="M146" s="15"/>
      <c r="N146" s="15"/>
      <c r="O146" s="15"/>
      <c r="P146" s="15"/>
      <c r="Q146" s="15"/>
      <c r="R146" s="15"/>
      <c r="S146" s="15"/>
      <c r="T146" s="15"/>
      <c r="U146" s="15"/>
      <c r="V146" s="15"/>
      <c r="W146" s="15"/>
      <c r="X146" s="15"/>
      <c r="Y146" s="15"/>
      <c r="Z146" s="15"/>
    </row>
    <row r="147" spans="1:26" ht="60.75" thickBot="1" x14ac:dyDescent="0.3">
      <c r="A147" s="17" t="s">
        <v>276</v>
      </c>
      <c r="B147" s="22" t="s">
        <v>559</v>
      </c>
      <c r="C147" s="22" t="s">
        <v>277</v>
      </c>
      <c r="D147" s="23">
        <v>33</v>
      </c>
      <c r="E147" s="24" t="s">
        <v>966</v>
      </c>
      <c r="F147" s="25">
        <v>24.3</v>
      </c>
      <c r="G147" s="25">
        <v>0.27</v>
      </c>
      <c r="H147" s="15"/>
      <c r="I147" s="15"/>
      <c r="J147" s="15"/>
      <c r="K147" s="15"/>
      <c r="L147" s="15"/>
      <c r="M147" s="15"/>
      <c r="N147" s="15"/>
      <c r="O147" s="15"/>
      <c r="P147" s="15"/>
      <c r="Q147" s="15"/>
      <c r="R147" s="15"/>
      <c r="S147" s="15"/>
      <c r="T147" s="15"/>
      <c r="U147" s="15"/>
      <c r="V147" s="15"/>
      <c r="W147" s="15"/>
      <c r="X147" s="15"/>
      <c r="Y147" s="15"/>
      <c r="Z147" s="15"/>
    </row>
    <row r="148" spans="1:26" ht="60.75" thickBot="1" x14ac:dyDescent="0.3">
      <c r="A148" s="16" t="s">
        <v>278</v>
      </c>
      <c r="B148" s="18" t="s">
        <v>560</v>
      </c>
      <c r="C148" s="18" t="s">
        <v>279</v>
      </c>
      <c r="D148" s="19">
        <v>6</v>
      </c>
      <c r="E148" s="20" t="s">
        <v>967</v>
      </c>
      <c r="F148" s="21">
        <v>15.9</v>
      </c>
      <c r="G148" s="21">
        <v>0.17699999999999999</v>
      </c>
      <c r="H148" s="15"/>
      <c r="I148" s="15"/>
      <c r="J148" s="15"/>
      <c r="K148" s="15"/>
      <c r="L148" s="15"/>
      <c r="M148" s="15"/>
      <c r="N148" s="15"/>
      <c r="O148" s="15"/>
      <c r="P148" s="15"/>
      <c r="Q148" s="15"/>
      <c r="R148" s="15"/>
      <c r="S148" s="15"/>
      <c r="T148" s="15"/>
      <c r="U148" s="15"/>
      <c r="V148" s="15"/>
      <c r="W148" s="15"/>
      <c r="X148" s="15"/>
      <c r="Y148" s="15"/>
      <c r="Z148" s="15"/>
    </row>
    <row r="149" spans="1:26" ht="60.75" thickBot="1" x14ac:dyDescent="0.3">
      <c r="A149" s="17" t="s">
        <v>280</v>
      </c>
      <c r="B149" s="22" t="s">
        <v>561</v>
      </c>
      <c r="C149" s="22" t="s">
        <v>281</v>
      </c>
      <c r="D149" s="23">
        <v>1</v>
      </c>
      <c r="E149" s="24" t="s">
        <v>968</v>
      </c>
      <c r="F149" s="25">
        <v>24.3</v>
      </c>
      <c r="G149" s="25">
        <v>0.27</v>
      </c>
      <c r="H149" s="15"/>
      <c r="I149" s="15"/>
      <c r="J149" s="15"/>
      <c r="K149" s="15"/>
      <c r="L149" s="15"/>
      <c r="M149" s="15"/>
      <c r="N149" s="15"/>
      <c r="O149" s="15"/>
      <c r="P149" s="15"/>
      <c r="Q149" s="15"/>
      <c r="R149" s="15"/>
      <c r="S149" s="15"/>
      <c r="T149" s="15"/>
      <c r="U149" s="15"/>
      <c r="V149" s="15"/>
      <c r="W149" s="15"/>
      <c r="X149" s="15"/>
      <c r="Y149" s="15"/>
      <c r="Z149" s="15"/>
    </row>
    <row r="150" spans="1:26" ht="75.75" thickBot="1" x14ac:dyDescent="0.3">
      <c r="A150" s="16" t="s">
        <v>282</v>
      </c>
      <c r="B150" s="18" t="s">
        <v>562</v>
      </c>
      <c r="C150" s="18" t="s">
        <v>283</v>
      </c>
      <c r="D150" s="19">
        <v>1</v>
      </c>
      <c r="E150" s="20" t="s">
        <v>969</v>
      </c>
      <c r="F150" s="21">
        <v>18</v>
      </c>
      <c r="G150" s="21">
        <v>0.17100000000000001</v>
      </c>
      <c r="H150" s="15"/>
      <c r="I150" s="15"/>
      <c r="J150" s="15"/>
      <c r="K150" s="15"/>
      <c r="L150" s="15"/>
      <c r="M150" s="15"/>
      <c r="N150" s="15"/>
      <c r="O150" s="15"/>
      <c r="P150" s="15"/>
      <c r="Q150" s="15"/>
      <c r="R150" s="15"/>
      <c r="S150" s="15"/>
      <c r="T150" s="15"/>
      <c r="U150" s="15"/>
      <c r="V150" s="15"/>
      <c r="W150" s="15"/>
      <c r="X150" s="15"/>
      <c r="Y150" s="15"/>
      <c r="Z150" s="15"/>
    </row>
    <row r="151" spans="1:26" ht="60.75" thickBot="1" x14ac:dyDescent="0.3">
      <c r="A151" s="17" t="s">
        <v>284</v>
      </c>
      <c r="B151" s="22" t="s">
        <v>563</v>
      </c>
      <c r="C151" s="22" t="s">
        <v>285</v>
      </c>
      <c r="D151" s="23">
        <v>0</v>
      </c>
      <c r="E151" s="24" t="s">
        <v>970</v>
      </c>
      <c r="F151" s="25">
        <v>26.4</v>
      </c>
      <c r="G151" s="25">
        <v>0.29299999999999998</v>
      </c>
      <c r="H151" s="15"/>
      <c r="I151" s="15"/>
      <c r="J151" s="15"/>
      <c r="K151" s="15"/>
      <c r="L151" s="15"/>
      <c r="M151" s="15"/>
      <c r="N151" s="15"/>
      <c r="O151" s="15"/>
      <c r="P151" s="15"/>
      <c r="Q151" s="15"/>
      <c r="R151" s="15"/>
      <c r="S151" s="15"/>
      <c r="T151" s="15"/>
      <c r="U151" s="15"/>
      <c r="V151" s="15"/>
      <c r="W151" s="15"/>
      <c r="X151" s="15"/>
      <c r="Y151" s="15"/>
      <c r="Z151" s="15"/>
    </row>
    <row r="152" spans="1:26" ht="45.75" thickBot="1" x14ac:dyDescent="0.3">
      <c r="A152" s="16" t="s">
        <v>286</v>
      </c>
      <c r="B152" s="18" t="s">
        <v>564</v>
      </c>
      <c r="C152" s="18" t="s">
        <v>287</v>
      </c>
      <c r="D152" s="19">
        <v>14</v>
      </c>
      <c r="E152" s="20" t="s">
        <v>971</v>
      </c>
      <c r="F152" s="21">
        <v>12</v>
      </c>
      <c r="G152" s="21">
        <v>0.13300000000000001</v>
      </c>
      <c r="H152" s="15"/>
      <c r="I152" s="15"/>
      <c r="J152" s="15"/>
      <c r="K152" s="15"/>
      <c r="L152" s="15"/>
      <c r="M152" s="15"/>
      <c r="N152" s="15"/>
      <c r="O152" s="15"/>
      <c r="P152" s="15"/>
      <c r="Q152" s="15"/>
      <c r="R152" s="15"/>
      <c r="S152" s="15"/>
      <c r="T152" s="15"/>
      <c r="U152" s="15"/>
      <c r="V152" s="15"/>
      <c r="W152" s="15"/>
      <c r="X152" s="15"/>
      <c r="Y152" s="15"/>
      <c r="Z152" s="15"/>
    </row>
    <row r="153" spans="1:26" ht="45.75" thickBot="1" x14ac:dyDescent="0.3">
      <c r="A153" s="17" t="s">
        <v>288</v>
      </c>
      <c r="B153" s="22" t="s">
        <v>565</v>
      </c>
      <c r="C153" s="22" t="s">
        <v>289</v>
      </c>
      <c r="D153" s="23">
        <v>1</v>
      </c>
      <c r="E153" s="24" t="s">
        <v>972</v>
      </c>
      <c r="F153" s="25">
        <v>30</v>
      </c>
      <c r="G153" s="25">
        <v>0.33300000000000002</v>
      </c>
      <c r="H153" s="15"/>
      <c r="I153" s="15"/>
      <c r="J153" s="15"/>
      <c r="K153" s="15"/>
      <c r="L153" s="15"/>
      <c r="M153" s="15"/>
      <c r="N153" s="15"/>
      <c r="O153" s="15"/>
      <c r="P153" s="15"/>
      <c r="Q153" s="15"/>
      <c r="R153" s="15"/>
      <c r="S153" s="15"/>
      <c r="T153" s="15"/>
      <c r="U153" s="15"/>
      <c r="V153" s="15"/>
      <c r="W153" s="15"/>
      <c r="X153" s="15"/>
      <c r="Y153" s="15"/>
      <c r="Z153" s="15"/>
    </row>
    <row r="154" spans="1:26" ht="60.75" thickBot="1" x14ac:dyDescent="0.3">
      <c r="A154" s="16" t="s">
        <v>290</v>
      </c>
      <c r="B154" s="18" t="s">
        <v>566</v>
      </c>
      <c r="C154" s="18" t="s">
        <v>291</v>
      </c>
      <c r="D154" s="19">
        <v>10</v>
      </c>
      <c r="E154" s="20" t="s">
        <v>973</v>
      </c>
      <c r="F154" s="21">
        <v>18</v>
      </c>
      <c r="G154" s="21">
        <v>0.15</v>
      </c>
      <c r="H154" s="15"/>
      <c r="I154" s="15"/>
      <c r="J154" s="15"/>
      <c r="K154" s="15"/>
      <c r="L154" s="15"/>
      <c r="M154" s="15"/>
      <c r="N154" s="15"/>
      <c r="O154" s="15"/>
      <c r="P154" s="15"/>
      <c r="Q154" s="15"/>
      <c r="R154" s="15"/>
      <c r="S154" s="15"/>
      <c r="T154" s="15"/>
      <c r="U154" s="15"/>
      <c r="V154" s="15"/>
      <c r="W154" s="15"/>
      <c r="X154" s="15"/>
      <c r="Y154" s="15"/>
      <c r="Z154" s="15"/>
    </row>
    <row r="155" spans="1:26" ht="60.75" thickBot="1" x14ac:dyDescent="0.3">
      <c r="A155" s="17" t="s">
        <v>292</v>
      </c>
      <c r="B155" s="22" t="s">
        <v>567</v>
      </c>
      <c r="C155" s="22" t="s">
        <v>293</v>
      </c>
      <c r="D155" s="23">
        <v>12</v>
      </c>
      <c r="E155" s="24" t="s">
        <v>974</v>
      </c>
      <c r="F155" s="25">
        <v>24</v>
      </c>
      <c r="G155" s="25">
        <v>0.32</v>
      </c>
      <c r="H155" s="15"/>
      <c r="I155" s="15"/>
      <c r="J155" s="15"/>
      <c r="K155" s="15"/>
      <c r="L155" s="15"/>
      <c r="M155" s="15"/>
      <c r="N155" s="15"/>
      <c r="O155" s="15"/>
      <c r="P155" s="15"/>
      <c r="Q155" s="15"/>
      <c r="R155" s="15"/>
      <c r="S155" s="15"/>
      <c r="T155" s="15"/>
      <c r="U155" s="15"/>
      <c r="V155" s="15"/>
      <c r="W155" s="15"/>
      <c r="X155" s="15"/>
      <c r="Y155" s="15"/>
      <c r="Z155" s="15"/>
    </row>
    <row r="156" spans="1:26" ht="60.75" thickBot="1" x14ac:dyDescent="0.3">
      <c r="A156" s="16" t="s">
        <v>294</v>
      </c>
      <c r="B156" s="18" t="s">
        <v>568</v>
      </c>
      <c r="C156" s="18" t="s">
        <v>295</v>
      </c>
      <c r="D156" s="19">
        <v>4</v>
      </c>
      <c r="E156" s="20" t="s">
        <v>975</v>
      </c>
      <c r="F156" s="21">
        <v>27.2</v>
      </c>
      <c r="G156" s="21">
        <v>0.27200000000000002</v>
      </c>
      <c r="H156" s="15"/>
      <c r="I156" s="15"/>
      <c r="J156" s="15"/>
      <c r="K156" s="15"/>
      <c r="L156" s="15"/>
      <c r="M156" s="15"/>
      <c r="N156" s="15"/>
      <c r="O156" s="15"/>
      <c r="P156" s="15"/>
      <c r="Q156" s="15"/>
      <c r="R156" s="15"/>
      <c r="S156" s="15"/>
      <c r="T156" s="15"/>
      <c r="U156" s="15"/>
      <c r="V156" s="15"/>
      <c r="W156" s="15"/>
      <c r="X156" s="15"/>
      <c r="Y156" s="15"/>
      <c r="Z156" s="15"/>
    </row>
    <row r="157" spans="1:26" ht="45.75" thickBot="1" x14ac:dyDescent="0.3">
      <c r="A157" s="17" t="s">
        <v>976</v>
      </c>
      <c r="B157" s="22" t="s">
        <v>977</v>
      </c>
      <c r="C157" s="22" t="s">
        <v>978</v>
      </c>
      <c r="D157" s="23">
        <v>0</v>
      </c>
      <c r="E157" s="24" t="s">
        <v>979</v>
      </c>
      <c r="F157" s="25">
        <v>0</v>
      </c>
      <c r="G157" s="25">
        <v>0</v>
      </c>
      <c r="H157" s="15"/>
      <c r="I157" s="15"/>
      <c r="J157" s="15"/>
      <c r="K157" s="15"/>
      <c r="L157" s="15"/>
      <c r="M157" s="15"/>
      <c r="N157" s="15"/>
      <c r="O157" s="15"/>
      <c r="P157" s="15"/>
      <c r="Q157" s="15"/>
      <c r="R157" s="15"/>
      <c r="S157" s="15"/>
      <c r="T157" s="15"/>
      <c r="U157" s="15"/>
      <c r="V157" s="15"/>
      <c r="W157" s="15"/>
      <c r="X157" s="15"/>
      <c r="Y157" s="15"/>
      <c r="Z157" s="15"/>
    </row>
    <row r="158" spans="1:26" ht="60.75" thickBot="1" x14ac:dyDescent="0.3">
      <c r="A158" s="17" t="s">
        <v>980</v>
      </c>
      <c r="B158" s="22" t="s">
        <v>981</v>
      </c>
      <c r="C158" s="22" t="s">
        <v>982</v>
      </c>
      <c r="D158" s="23">
        <v>3</v>
      </c>
      <c r="E158" s="24" t="s">
        <v>983</v>
      </c>
      <c r="F158" s="25">
        <v>0</v>
      </c>
      <c r="G158" s="25">
        <v>0</v>
      </c>
      <c r="H158" s="15"/>
      <c r="I158" s="15"/>
      <c r="J158" s="15"/>
      <c r="K158" s="15"/>
      <c r="L158" s="15"/>
      <c r="M158" s="15"/>
      <c r="N158" s="15"/>
      <c r="O158" s="15"/>
      <c r="P158" s="15"/>
      <c r="Q158" s="15"/>
      <c r="R158" s="15"/>
      <c r="S158" s="15"/>
      <c r="T158" s="15"/>
      <c r="U158" s="15"/>
      <c r="V158" s="15"/>
      <c r="W158" s="15"/>
      <c r="X158" s="15"/>
      <c r="Y158" s="15"/>
      <c r="Z158" s="15"/>
    </row>
    <row r="159" spans="1:26" ht="30.75" thickBot="1" x14ac:dyDescent="0.3">
      <c r="A159" s="17" t="s">
        <v>984</v>
      </c>
      <c r="B159" s="22" t="s">
        <v>985</v>
      </c>
      <c r="C159" s="22" t="s">
        <v>986</v>
      </c>
      <c r="D159" s="23">
        <v>1</v>
      </c>
      <c r="E159" s="24" t="s">
        <v>987</v>
      </c>
      <c r="F159" s="25">
        <v>0</v>
      </c>
      <c r="G159" s="25">
        <v>0</v>
      </c>
      <c r="H159" s="15"/>
      <c r="I159" s="15"/>
      <c r="J159" s="15"/>
      <c r="K159" s="15"/>
      <c r="L159" s="15"/>
      <c r="M159" s="15"/>
      <c r="N159" s="15"/>
      <c r="O159" s="15"/>
      <c r="P159" s="15"/>
      <c r="Q159" s="15"/>
      <c r="R159" s="15"/>
      <c r="S159" s="15"/>
      <c r="T159" s="15"/>
      <c r="U159" s="15"/>
      <c r="V159" s="15"/>
      <c r="W159" s="15"/>
      <c r="X159" s="15"/>
      <c r="Y159" s="15"/>
      <c r="Z159" s="15"/>
    </row>
    <row r="160" spans="1:26" ht="30.75" thickBot="1" x14ac:dyDescent="0.3">
      <c r="A160" s="17" t="s">
        <v>988</v>
      </c>
      <c r="B160" s="22" t="s">
        <v>989</v>
      </c>
      <c r="C160" s="22" t="s">
        <v>990</v>
      </c>
      <c r="D160" s="23">
        <v>2</v>
      </c>
      <c r="E160" s="24" t="s">
        <v>1054</v>
      </c>
      <c r="F160" s="25">
        <v>0</v>
      </c>
      <c r="G160" s="25">
        <v>0</v>
      </c>
      <c r="H160" s="15"/>
      <c r="I160" s="15"/>
      <c r="J160" s="15"/>
      <c r="K160" s="15"/>
      <c r="L160" s="15"/>
      <c r="M160" s="15"/>
      <c r="N160" s="15"/>
      <c r="O160" s="15"/>
      <c r="P160" s="15"/>
      <c r="Q160" s="15"/>
      <c r="R160" s="15"/>
      <c r="S160" s="15"/>
      <c r="T160" s="15"/>
      <c r="U160" s="15"/>
      <c r="V160" s="15"/>
      <c r="W160" s="15"/>
      <c r="X160" s="15"/>
      <c r="Y160" s="15"/>
      <c r="Z160" s="15"/>
    </row>
    <row r="161" spans="1:26" ht="60.75" thickBot="1" x14ac:dyDescent="0.3">
      <c r="A161" s="17" t="s">
        <v>296</v>
      </c>
      <c r="B161" s="22" t="s">
        <v>569</v>
      </c>
      <c r="C161" s="22" t="s">
        <v>297</v>
      </c>
      <c r="D161" s="23">
        <v>1</v>
      </c>
      <c r="E161" s="24" t="s">
        <v>991</v>
      </c>
      <c r="F161" s="25">
        <v>16.2</v>
      </c>
      <c r="G161" s="25">
        <v>0.20200000000000001</v>
      </c>
      <c r="H161" s="15"/>
      <c r="I161" s="15"/>
      <c r="J161" s="15"/>
      <c r="K161" s="15"/>
      <c r="L161" s="15"/>
      <c r="M161" s="15"/>
      <c r="N161" s="15"/>
      <c r="O161" s="15"/>
      <c r="P161" s="15"/>
      <c r="Q161" s="15"/>
      <c r="R161" s="15"/>
      <c r="S161" s="15"/>
      <c r="T161" s="15"/>
      <c r="U161" s="15"/>
      <c r="V161" s="15"/>
      <c r="W161" s="15"/>
      <c r="X161" s="15"/>
      <c r="Y161" s="15"/>
      <c r="Z161" s="15"/>
    </row>
    <row r="162" spans="1:26" ht="75.75" thickBot="1" x14ac:dyDescent="0.3">
      <c r="A162" s="17" t="s">
        <v>1112</v>
      </c>
      <c r="B162" s="35" t="s">
        <v>1113</v>
      </c>
      <c r="C162" s="35" t="s">
        <v>1114</v>
      </c>
      <c r="D162" s="23">
        <v>0</v>
      </c>
      <c r="E162" s="36" t="s">
        <v>1115</v>
      </c>
      <c r="F162" s="25">
        <f>ROUND(52*'Alcohol by Category'!$E$14+22*'Alcohol by Category'!$E$50,1)</f>
        <v>27.4</v>
      </c>
      <c r="G162" s="25">
        <f>ROUND(F162/(52+22+15),3)</f>
        <v>0.308</v>
      </c>
      <c r="H162" s="15"/>
      <c r="I162" s="15"/>
      <c r="J162" s="15"/>
      <c r="K162" s="15"/>
      <c r="L162" s="15"/>
      <c r="M162" s="15"/>
      <c r="N162" s="15"/>
      <c r="O162" s="15"/>
      <c r="P162" s="15"/>
      <c r="Q162" s="15"/>
      <c r="R162" s="15"/>
      <c r="S162" s="15"/>
      <c r="T162" s="15"/>
      <c r="U162" s="15"/>
      <c r="V162" s="15"/>
      <c r="W162" s="15"/>
      <c r="X162" s="15"/>
      <c r="Y162" s="15"/>
      <c r="Z162" s="15"/>
    </row>
    <row r="163" spans="1:26" ht="60.75" thickBot="1" x14ac:dyDescent="0.3">
      <c r="A163" s="16" t="s">
        <v>298</v>
      </c>
      <c r="B163" s="18" t="s">
        <v>570</v>
      </c>
      <c r="C163" s="18" t="s">
        <v>299</v>
      </c>
      <c r="D163" s="19">
        <v>5</v>
      </c>
      <c r="E163" s="20" t="s">
        <v>992</v>
      </c>
      <c r="F163" s="21">
        <v>20</v>
      </c>
      <c r="G163" s="21">
        <v>0.23499999999999999</v>
      </c>
      <c r="H163" s="15"/>
      <c r="I163" s="15"/>
      <c r="J163" s="15"/>
      <c r="K163" s="15"/>
      <c r="L163" s="15"/>
      <c r="M163" s="15"/>
      <c r="N163" s="15"/>
      <c r="O163" s="15"/>
      <c r="P163" s="15"/>
      <c r="Q163" s="15"/>
      <c r="R163" s="15"/>
      <c r="S163" s="15"/>
      <c r="T163" s="15"/>
      <c r="U163" s="15"/>
      <c r="V163" s="15"/>
      <c r="W163" s="15"/>
      <c r="X163" s="15"/>
      <c r="Y163" s="15"/>
      <c r="Z163" s="15"/>
    </row>
    <row r="164" spans="1:26" ht="45.75" thickBot="1" x14ac:dyDescent="0.3">
      <c r="A164" s="17" t="s">
        <v>300</v>
      </c>
      <c r="B164" s="22" t="s">
        <v>571</v>
      </c>
      <c r="C164" s="22" t="s">
        <v>301</v>
      </c>
      <c r="D164" s="23">
        <v>1</v>
      </c>
      <c r="E164" s="24" t="s">
        <v>993</v>
      </c>
      <c r="F164" s="25">
        <v>5</v>
      </c>
      <c r="G164" s="25">
        <v>4.2999999999999997E-2</v>
      </c>
      <c r="H164" s="15"/>
      <c r="I164" s="15"/>
      <c r="J164" s="15"/>
      <c r="K164" s="15"/>
      <c r="L164" s="15"/>
      <c r="M164" s="15"/>
      <c r="N164" s="15"/>
      <c r="O164" s="15"/>
      <c r="P164" s="15"/>
      <c r="Q164" s="15"/>
      <c r="R164" s="15"/>
      <c r="S164" s="15"/>
      <c r="T164" s="15"/>
      <c r="U164" s="15"/>
      <c r="V164" s="15"/>
      <c r="W164" s="15"/>
      <c r="X164" s="15"/>
      <c r="Y164" s="15"/>
      <c r="Z164" s="15"/>
    </row>
    <row r="165" spans="1:26" ht="75.75" thickBot="1" x14ac:dyDescent="0.3">
      <c r="A165" s="16" t="s">
        <v>302</v>
      </c>
      <c r="B165" s="18" t="s">
        <v>572</v>
      </c>
      <c r="C165" s="18" t="s">
        <v>303</v>
      </c>
      <c r="D165" s="19">
        <v>5</v>
      </c>
      <c r="E165" s="20" t="s">
        <v>994</v>
      </c>
      <c r="F165" s="21">
        <v>35.1</v>
      </c>
      <c r="G165" s="21">
        <v>0.33400000000000002</v>
      </c>
      <c r="H165" s="15"/>
      <c r="I165" s="15"/>
      <c r="J165" s="15"/>
      <c r="K165" s="15"/>
      <c r="L165" s="15"/>
      <c r="M165" s="15"/>
      <c r="N165" s="15"/>
      <c r="O165" s="15"/>
      <c r="P165" s="15"/>
      <c r="Q165" s="15"/>
      <c r="R165" s="15"/>
      <c r="S165" s="15"/>
      <c r="T165" s="15"/>
      <c r="U165" s="15"/>
      <c r="V165" s="15"/>
      <c r="W165" s="15"/>
      <c r="X165" s="15"/>
      <c r="Y165" s="15"/>
      <c r="Z165" s="15"/>
    </row>
    <row r="166" spans="1:26" ht="60.75" thickBot="1" x14ac:dyDescent="0.3">
      <c r="A166" s="17" t="s">
        <v>304</v>
      </c>
      <c r="B166" s="22" t="s">
        <v>573</v>
      </c>
      <c r="C166" s="22" t="s">
        <v>305</v>
      </c>
      <c r="D166" s="23">
        <v>3</v>
      </c>
      <c r="E166" s="24" t="s">
        <v>995</v>
      </c>
      <c r="F166" s="25">
        <v>15</v>
      </c>
      <c r="G166" s="25">
        <v>7.6999999999999999E-2</v>
      </c>
      <c r="H166" s="15"/>
      <c r="I166" s="15"/>
      <c r="J166" s="15"/>
      <c r="K166" s="15"/>
      <c r="L166" s="15"/>
      <c r="M166" s="15"/>
      <c r="N166" s="15"/>
      <c r="O166" s="15"/>
      <c r="P166" s="15"/>
      <c r="Q166" s="15"/>
      <c r="R166" s="15"/>
      <c r="S166" s="15"/>
      <c r="T166" s="15"/>
      <c r="U166" s="15"/>
      <c r="V166" s="15"/>
      <c r="W166" s="15"/>
      <c r="X166" s="15"/>
      <c r="Y166" s="15"/>
      <c r="Z166" s="15"/>
    </row>
    <row r="167" spans="1:26" ht="75.75" thickBot="1" x14ac:dyDescent="0.3">
      <c r="A167" s="16" t="s">
        <v>306</v>
      </c>
      <c r="B167" s="18" t="s">
        <v>574</v>
      </c>
      <c r="C167" s="18" t="s">
        <v>307</v>
      </c>
      <c r="D167" s="19">
        <v>15</v>
      </c>
      <c r="E167" s="20" t="s">
        <v>996</v>
      </c>
      <c r="F167" s="21">
        <v>24</v>
      </c>
      <c r="G167" s="21">
        <v>0.192</v>
      </c>
      <c r="H167" s="15"/>
      <c r="I167" s="15"/>
      <c r="J167" s="15"/>
      <c r="K167" s="15"/>
      <c r="L167" s="15"/>
      <c r="M167" s="15"/>
      <c r="N167" s="15"/>
      <c r="O167" s="15"/>
      <c r="P167" s="15"/>
      <c r="Q167" s="15"/>
      <c r="R167" s="15"/>
      <c r="S167" s="15"/>
      <c r="T167" s="15"/>
      <c r="U167" s="15"/>
      <c r="V167" s="15"/>
      <c r="W167" s="15"/>
      <c r="X167" s="15"/>
      <c r="Y167" s="15"/>
      <c r="Z167" s="15"/>
    </row>
    <row r="168" spans="1:26" ht="45.75" thickBot="1" x14ac:dyDescent="0.3">
      <c r="A168" s="17" t="s">
        <v>308</v>
      </c>
      <c r="B168" s="22" t="s">
        <v>575</v>
      </c>
      <c r="C168" s="22" t="s">
        <v>309</v>
      </c>
      <c r="D168" s="23">
        <v>5</v>
      </c>
      <c r="E168" s="24" t="s">
        <v>997</v>
      </c>
      <c r="F168" s="25">
        <v>25.9</v>
      </c>
      <c r="G168" s="25">
        <v>0.247</v>
      </c>
      <c r="H168" s="15"/>
      <c r="I168" s="15"/>
      <c r="J168" s="15"/>
      <c r="K168" s="15"/>
      <c r="L168" s="15"/>
      <c r="M168" s="15"/>
      <c r="N168" s="15"/>
      <c r="O168" s="15"/>
      <c r="P168" s="15"/>
      <c r="Q168" s="15"/>
      <c r="R168" s="15"/>
      <c r="S168" s="15"/>
      <c r="T168" s="15"/>
      <c r="U168" s="15"/>
      <c r="V168" s="15"/>
      <c r="W168" s="15"/>
      <c r="X168" s="15"/>
      <c r="Y168" s="15"/>
      <c r="Z168" s="15"/>
    </row>
    <row r="169" spans="1:26" ht="75.75" thickBot="1" x14ac:dyDescent="0.3">
      <c r="A169" s="16" t="s">
        <v>310</v>
      </c>
      <c r="B169" s="18" t="s">
        <v>576</v>
      </c>
      <c r="C169" s="18" t="s">
        <v>311</v>
      </c>
      <c r="D169" s="19">
        <v>0</v>
      </c>
      <c r="E169" s="20" t="s">
        <v>998</v>
      </c>
      <c r="F169" s="21">
        <v>24</v>
      </c>
      <c r="G169" s="21">
        <v>0.33300000000000002</v>
      </c>
      <c r="H169" s="15"/>
      <c r="I169" s="15"/>
      <c r="J169" s="15"/>
      <c r="K169" s="15"/>
      <c r="L169" s="15"/>
      <c r="M169" s="15"/>
      <c r="N169" s="15"/>
      <c r="O169" s="15"/>
      <c r="P169" s="15"/>
      <c r="Q169" s="15"/>
      <c r="R169" s="15"/>
      <c r="S169" s="15"/>
      <c r="T169" s="15"/>
      <c r="U169" s="15"/>
      <c r="V169" s="15"/>
      <c r="W169" s="15"/>
      <c r="X169" s="15"/>
      <c r="Y169" s="15"/>
      <c r="Z169" s="15"/>
    </row>
    <row r="170" spans="1:26" ht="90.75" thickBot="1" x14ac:dyDescent="0.3">
      <c r="A170" s="17" t="s">
        <v>312</v>
      </c>
      <c r="B170" s="22" t="s">
        <v>577</v>
      </c>
      <c r="C170" s="22" t="s">
        <v>313</v>
      </c>
      <c r="D170" s="23">
        <v>2</v>
      </c>
      <c r="E170" s="24" t="s">
        <v>999</v>
      </c>
      <c r="F170" s="25">
        <v>15.6</v>
      </c>
      <c r="G170" s="25">
        <v>0.161</v>
      </c>
      <c r="H170" s="15"/>
      <c r="I170" s="15"/>
      <c r="J170" s="15"/>
      <c r="K170" s="15"/>
      <c r="L170" s="15"/>
      <c r="M170" s="15"/>
      <c r="N170" s="15"/>
      <c r="O170" s="15"/>
      <c r="P170" s="15"/>
      <c r="Q170" s="15"/>
      <c r="R170" s="15"/>
      <c r="S170" s="15"/>
      <c r="T170" s="15"/>
      <c r="U170" s="15"/>
      <c r="V170" s="15"/>
      <c r="W170" s="15"/>
      <c r="X170" s="15"/>
      <c r="Y170" s="15"/>
      <c r="Z170" s="15"/>
    </row>
    <row r="171" spans="1:26" ht="45.75" thickBot="1" x14ac:dyDescent="0.3">
      <c r="A171" s="16" t="s">
        <v>314</v>
      </c>
      <c r="B171" s="18" t="s">
        <v>578</v>
      </c>
      <c r="C171" s="18" t="s">
        <v>315</v>
      </c>
      <c r="D171" s="19">
        <v>12</v>
      </c>
      <c r="E171" s="20" t="s">
        <v>1000</v>
      </c>
      <c r="F171" s="21">
        <v>16.100000000000001</v>
      </c>
      <c r="G171" s="21">
        <v>0.189</v>
      </c>
      <c r="H171" s="15"/>
      <c r="I171" s="15"/>
      <c r="J171" s="15"/>
      <c r="K171" s="15"/>
      <c r="L171" s="15"/>
      <c r="M171" s="15"/>
      <c r="N171" s="15"/>
      <c r="O171" s="15"/>
      <c r="P171" s="15"/>
      <c r="Q171" s="15"/>
      <c r="R171" s="15"/>
      <c r="S171" s="15"/>
      <c r="T171" s="15"/>
      <c r="U171" s="15"/>
      <c r="V171" s="15"/>
      <c r="W171" s="15"/>
      <c r="X171" s="15"/>
      <c r="Y171" s="15"/>
      <c r="Z171" s="15"/>
    </row>
    <row r="172" spans="1:26" ht="75.75" thickBot="1" x14ac:dyDescent="0.3">
      <c r="A172" s="17" t="s">
        <v>316</v>
      </c>
      <c r="B172" s="22" t="s">
        <v>579</v>
      </c>
      <c r="C172" s="22" t="s">
        <v>317</v>
      </c>
      <c r="D172" s="23">
        <v>0</v>
      </c>
      <c r="E172" s="24" t="s">
        <v>1001</v>
      </c>
      <c r="F172" s="25">
        <v>19.5</v>
      </c>
      <c r="G172" s="25">
        <v>0.108</v>
      </c>
      <c r="H172" s="15"/>
      <c r="I172" s="15"/>
      <c r="J172" s="15"/>
      <c r="K172" s="15"/>
      <c r="L172" s="15"/>
      <c r="M172" s="15"/>
      <c r="N172" s="15"/>
      <c r="O172" s="15"/>
      <c r="P172" s="15"/>
      <c r="Q172" s="15"/>
      <c r="R172" s="15"/>
      <c r="S172" s="15"/>
      <c r="T172" s="15"/>
      <c r="U172" s="15"/>
      <c r="V172" s="15"/>
      <c r="W172" s="15"/>
      <c r="X172" s="15"/>
      <c r="Y172" s="15"/>
      <c r="Z172" s="15"/>
    </row>
    <row r="173" spans="1:26" ht="90.75" thickBot="1" x14ac:dyDescent="0.3">
      <c r="A173" s="16" t="s">
        <v>318</v>
      </c>
      <c r="B173" s="18" t="s">
        <v>580</v>
      </c>
      <c r="C173" s="18" t="s">
        <v>319</v>
      </c>
      <c r="D173" s="19">
        <v>10</v>
      </c>
      <c r="E173" s="20" t="s">
        <v>1002</v>
      </c>
      <c r="F173" s="21">
        <v>24</v>
      </c>
      <c r="G173" s="21">
        <v>0.17799999999999999</v>
      </c>
      <c r="H173" s="15"/>
      <c r="I173" s="15"/>
      <c r="J173" s="15"/>
      <c r="K173" s="15"/>
      <c r="L173" s="15"/>
      <c r="M173" s="15"/>
      <c r="N173" s="15"/>
      <c r="O173" s="15"/>
      <c r="P173" s="15"/>
      <c r="Q173" s="15"/>
      <c r="R173" s="15"/>
      <c r="S173" s="15"/>
      <c r="T173" s="15"/>
      <c r="U173" s="15"/>
      <c r="V173" s="15"/>
      <c r="W173" s="15"/>
      <c r="X173" s="15"/>
      <c r="Y173" s="15"/>
      <c r="Z173" s="15"/>
    </row>
    <row r="174" spans="1:26" ht="90.75" thickBot="1" x14ac:dyDescent="0.3">
      <c r="A174" s="17" t="s">
        <v>320</v>
      </c>
      <c r="B174" s="22" t="s">
        <v>581</v>
      </c>
      <c r="C174" s="22" t="s">
        <v>321</v>
      </c>
      <c r="D174" s="23">
        <v>7</v>
      </c>
      <c r="E174" s="24" t="s">
        <v>1003</v>
      </c>
      <c r="F174" s="25">
        <v>21</v>
      </c>
      <c r="G174" s="25">
        <v>0.13300000000000001</v>
      </c>
      <c r="H174" s="15"/>
      <c r="I174" s="15"/>
      <c r="J174" s="15"/>
      <c r="K174" s="15"/>
      <c r="L174" s="15"/>
      <c r="M174" s="15"/>
      <c r="N174" s="15"/>
      <c r="O174" s="15"/>
      <c r="P174" s="15"/>
      <c r="Q174" s="15"/>
      <c r="R174" s="15"/>
      <c r="S174" s="15"/>
      <c r="T174" s="15"/>
      <c r="U174" s="15"/>
      <c r="V174" s="15"/>
      <c r="W174" s="15"/>
      <c r="X174" s="15"/>
      <c r="Y174" s="15"/>
      <c r="Z174" s="15"/>
    </row>
    <row r="175" spans="1:26" ht="90.75" thickBot="1" x14ac:dyDescent="0.3">
      <c r="A175" s="16" t="s">
        <v>322</v>
      </c>
      <c r="B175" s="18" t="s">
        <v>582</v>
      </c>
      <c r="C175" s="18" t="s">
        <v>323</v>
      </c>
      <c r="D175" s="19">
        <v>0</v>
      </c>
      <c r="E175" s="20" t="s">
        <v>1004</v>
      </c>
      <c r="F175" s="21">
        <v>9</v>
      </c>
      <c r="G175" s="21">
        <v>0.03</v>
      </c>
      <c r="H175" s="15"/>
      <c r="I175" s="15"/>
      <c r="J175" s="15"/>
      <c r="K175" s="15"/>
      <c r="L175" s="15"/>
      <c r="M175" s="15"/>
      <c r="N175" s="15"/>
      <c r="O175" s="15"/>
      <c r="P175" s="15"/>
      <c r="Q175" s="15"/>
      <c r="R175" s="15"/>
      <c r="S175" s="15"/>
      <c r="T175" s="15"/>
      <c r="U175" s="15"/>
      <c r="V175" s="15"/>
      <c r="W175" s="15"/>
      <c r="X175" s="15"/>
      <c r="Y175" s="15"/>
      <c r="Z175" s="15"/>
    </row>
    <row r="176" spans="1:26" ht="60.75" thickBot="1" x14ac:dyDescent="0.3">
      <c r="A176" s="17" t="s">
        <v>324</v>
      </c>
      <c r="B176" s="22" t="s">
        <v>583</v>
      </c>
      <c r="C176" s="22" t="s">
        <v>325</v>
      </c>
      <c r="D176" s="23">
        <v>2</v>
      </c>
      <c r="E176" s="24" t="s">
        <v>1005</v>
      </c>
      <c r="F176" s="25">
        <v>19.5</v>
      </c>
      <c r="G176" s="25">
        <v>0.13</v>
      </c>
      <c r="H176" s="15"/>
      <c r="I176" s="15"/>
      <c r="J176" s="15"/>
      <c r="K176" s="15"/>
      <c r="L176" s="15"/>
      <c r="M176" s="15"/>
      <c r="N176" s="15"/>
      <c r="O176" s="15"/>
      <c r="P176" s="15"/>
      <c r="Q176" s="15"/>
      <c r="R176" s="15"/>
      <c r="S176" s="15"/>
      <c r="T176" s="15"/>
      <c r="U176" s="15"/>
      <c r="V176" s="15"/>
      <c r="W176" s="15"/>
      <c r="X176" s="15"/>
      <c r="Y176" s="15"/>
      <c r="Z176" s="15"/>
    </row>
    <row r="177" spans="1:26" ht="75.75" thickBot="1" x14ac:dyDescent="0.3">
      <c r="A177" s="16" t="s">
        <v>326</v>
      </c>
      <c r="B177" s="18" t="s">
        <v>584</v>
      </c>
      <c r="C177" s="18" t="s">
        <v>327</v>
      </c>
      <c r="D177" s="19">
        <v>2</v>
      </c>
      <c r="E177" s="20" t="s">
        <v>1006</v>
      </c>
      <c r="F177" s="21">
        <v>24</v>
      </c>
      <c r="G177" s="21">
        <v>0.17299999999999999</v>
      </c>
      <c r="H177" s="15"/>
      <c r="I177" s="15"/>
      <c r="J177" s="15"/>
      <c r="K177" s="15"/>
      <c r="L177" s="15"/>
      <c r="M177" s="15"/>
      <c r="N177" s="15"/>
      <c r="O177" s="15"/>
      <c r="P177" s="15"/>
      <c r="Q177" s="15"/>
      <c r="R177" s="15"/>
      <c r="S177" s="15"/>
      <c r="T177" s="15"/>
      <c r="U177" s="15"/>
      <c r="V177" s="15"/>
      <c r="W177" s="15"/>
      <c r="X177" s="15"/>
      <c r="Y177" s="15"/>
      <c r="Z177" s="15"/>
    </row>
    <row r="178" spans="1:26" ht="60.75" thickBot="1" x14ac:dyDescent="0.3">
      <c r="A178" s="17" t="s">
        <v>328</v>
      </c>
      <c r="B178" s="22" t="s">
        <v>585</v>
      </c>
      <c r="C178" s="22" t="s">
        <v>329</v>
      </c>
      <c r="D178" s="23">
        <v>1</v>
      </c>
      <c r="E178" s="24" t="s">
        <v>1007</v>
      </c>
      <c r="F178" s="25">
        <v>9</v>
      </c>
      <c r="G178" s="25">
        <v>4.2999999999999997E-2</v>
      </c>
      <c r="H178" s="15"/>
      <c r="I178" s="15"/>
      <c r="J178" s="15"/>
      <c r="K178" s="15"/>
      <c r="L178" s="15"/>
      <c r="M178" s="15"/>
      <c r="N178" s="15"/>
      <c r="O178" s="15"/>
      <c r="P178" s="15"/>
      <c r="Q178" s="15"/>
      <c r="R178" s="15"/>
      <c r="S178" s="15"/>
      <c r="T178" s="15"/>
      <c r="U178" s="15"/>
      <c r="V178" s="15"/>
      <c r="W178" s="15"/>
      <c r="X178" s="15"/>
      <c r="Y178" s="15"/>
      <c r="Z178" s="15"/>
    </row>
    <row r="179" spans="1:26" ht="75.75" thickBot="1" x14ac:dyDescent="0.3">
      <c r="A179" s="16" t="s">
        <v>330</v>
      </c>
      <c r="B179" s="18" t="s">
        <v>586</v>
      </c>
      <c r="C179" s="18" t="s">
        <v>331</v>
      </c>
      <c r="D179" s="19">
        <v>2</v>
      </c>
      <c r="E179" s="20" t="s">
        <v>1008</v>
      </c>
      <c r="F179" s="21">
        <v>24</v>
      </c>
      <c r="G179" s="21">
        <v>0.22900000000000001</v>
      </c>
      <c r="H179" s="15"/>
      <c r="I179" s="15"/>
      <c r="J179" s="15"/>
      <c r="K179" s="15"/>
      <c r="L179" s="15"/>
      <c r="M179" s="15"/>
      <c r="N179" s="15"/>
      <c r="O179" s="15"/>
      <c r="P179" s="15"/>
      <c r="Q179" s="15"/>
      <c r="R179" s="15"/>
      <c r="S179" s="15"/>
      <c r="T179" s="15"/>
      <c r="U179" s="15"/>
      <c r="V179" s="15"/>
      <c r="W179" s="15"/>
      <c r="X179" s="15"/>
      <c r="Y179" s="15"/>
      <c r="Z179" s="15"/>
    </row>
    <row r="180" spans="1:26" ht="75.75" thickBot="1" x14ac:dyDescent="0.3">
      <c r="A180" s="17" t="s">
        <v>332</v>
      </c>
      <c r="B180" s="22" t="s">
        <v>587</v>
      </c>
      <c r="C180" s="22" t="s">
        <v>333</v>
      </c>
      <c r="D180" s="23">
        <v>0</v>
      </c>
      <c r="E180" s="24" t="s">
        <v>1009</v>
      </c>
      <c r="F180" s="25">
        <v>28.8</v>
      </c>
      <c r="G180" s="25">
        <v>0.32</v>
      </c>
      <c r="H180" s="15"/>
      <c r="I180" s="15"/>
      <c r="J180" s="15"/>
      <c r="K180" s="15"/>
      <c r="L180" s="15"/>
      <c r="M180" s="15"/>
      <c r="N180" s="15"/>
      <c r="O180" s="15"/>
      <c r="P180" s="15"/>
      <c r="Q180" s="15"/>
      <c r="R180" s="15"/>
      <c r="S180" s="15"/>
      <c r="T180" s="15"/>
      <c r="U180" s="15"/>
      <c r="V180" s="15"/>
      <c r="W180" s="15"/>
      <c r="X180" s="15"/>
      <c r="Y180" s="15"/>
      <c r="Z180" s="15"/>
    </row>
    <row r="181" spans="1:26" ht="90.75" thickBot="1" x14ac:dyDescent="0.3">
      <c r="A181" s="16" t="s">
        <v>334</v>
      </c>
      <c r="B181" s="18" t="s">
        <v>588</v>
      </c>
      <c r="C181" s="18" t="s">
        <v>335</v>
      </c>
      <c r="D181" s="19">
        <v>0</v>
      </c>
      <c r="E181" s="20" t="s">
        <v>1010</v>
      </c>
      <c r="F181" s="21">
        <v>30.6</v>
      </c>
      <c r="G181" s="21">
        <v>0.29099999999999998</v>
      </c>
      <c r="H181" s="15"/>
      <c r="I181" s="15"/>
      <c r="J181" s="15"/>
      <c r="K181" s="15"/>
      <c r="L181" s="15"/>
      <c r="M181" s="15"/>
      <c r="N181" s="15"/>
      <c r="O181" s="15"/>
      <c r="P181" s="15"/>
      <c r="Q181" s="15"/>
      <c r="R181" s="15"/>
      <c r="S181" s="15"/>
      <c r="T181" s="15"/>
      <c r="U181" s="15"/>
      <c r="V181" s="15"/>
      <c r="W181" s="15"/>
      <c r="X181" s="15"/>
      <c r="Y181" s="15"/>
      <c r="Z181" s="15"/>
    </row>
    <row r="182" spans="1:26" ht="45.75" thickBot="1" x14ac:dyDescent="0.3">
      <c r="A182" s="17" t="s">
        <v>336</v>
      </c>
      <c r="B182" s="22" t="s">
        <v>589</v>
      </c>
      <c r="C182" s="22" t="s">
        <v>337</v>
      </c>
      <c r="D182" s="23">
        <v>2</v>
      </c>
      <c r="E182" s="24" t="s">
        <v>1011</v>
      </c>
      <c r="F182" s="25">
        <v>32</v>
      </c>
      <c r="G182" s="25">
        <v>0.4</v>
      </c>
      <c r="H182" s="15"/>
      <c r="I182" s="15"/>
      <c r="J182" s="15"/>
      <c r="K182" s="15"/>
      <c r="L182" s="15"/>
      <c r="M182" s="15"/>
      <c r="N182" s="15"/>
      <c r="O182" s="15"/>
      <c r="P182" s="15"/>
      <c r="Q182" s="15"/>
      <c r="R182" s="15"/>
      <c r="S182" s="15"/>
      <c r="T182" s="15"/>
      <c r="U182" s="15"/>
      <c r="V182" s="15"/>
      <c r="W182" s="15"/>
      <c r="X182" s="15"/>
      <c r="Y182" s="15"/>
      <c r="Z182" s="15"/>
    </row>
    <row r="183" spans="1:26" ht="45.75" thickBot="1" x14ac:dyDescent="0.3">
      <c r="A183" s="16" t="s">
        <v>338</v>
      </c>
      <c r="B183" s="18" t="s">
        <v>590</v>
      </c>
      <c r="C183" s="18" t="s">
        <v>339</v>
      </c>
      <c r="D183" s="19">
        <v>1</v>
      </c>
      <c r="E183" s="20" t="s">
        <v>1012</v>
      </c>
      <c r="F183" s="21">
        <v>24</v>
      </c>
      <c r="G183" s="21">
        <v>0.32</v>
      </c>
      <c r="H183" s="15"/>
      <c r="I183" s="15"/>
      <c r="J183" s="15"/>
      <c r="K183" s="15"/>
      <c r="L183" s="15"/>
      <c r="M183" s="15"/>
      <c r="N183" s="15"/>
      <c r="O183" s="15"/>
      <c r="P183" s="15"/>
      <c r="Q183" s="15"/>
      <c r="R183" s="15"/>
      <c r="S183" s="15"/>
      <c r="T183" s="15"/>
      <c r="U183" s="15"/>
      <c r="V183" s="15"/>
      <c r="W183" s="15"/>
      <c r="X183" s="15"/>
      <c r="Y183" s="15"/>
      <c r="Z183" s="15"/>
    </row>
    <row r="184" spans="1:26" ht="75.75" thickBot="1" x14ac:dyDescent="0.3">
      <c r="A184" s="17" t="s">
        <v>340</v>
      </c>
      <c r="B184" s="22" t="s">
        <v>591</v>
      </c>
      <c r="C184" s="22" t="s">
        <v>341</v>
      </c>
      <c r="D184" s="23">
        <v>0</v>
      </c>
      <c r="E184" s="24" t="s">
        <v>1013</v>
      </c>
      <c r="F184" s="25">
        <v>27.6</v>
      </c>
      <c r="G184" s="25">
        <v>0.27100000000000002</v>
      </c>
      <c r="H184" s="15"/>
      <c r="I184" s="15"/>
      <c r="J184" s="15"/>
      <c r="K184" s="15"/>
      <c r="L184" s="15"/>
      <c r="M184" s="15"/>
      <c r="N184" s="15"/>
      <c r="O184" s="15"/>
      <c r="P184" s="15"/>
      <c r="Q184" s="15"/>
      <c r="R184" s="15"/>
      <c r="S184" s="15"/>
      <c r="T184" s="15"/>
      <c r="U184" s="15"/>
      <c r="V184" s="15"/>
      <c r="W184" s="15"/>
      <c r="X184" s="15"/>
      <c r="Y184" s="15"/>
      <c r="Z184" s="15"/>
    </row>
    <row r="185" spans="1:26" ht="90.75" thickBot="1" x14ac:dyDescent="0.3">
      <c r="A185" s="16" t="s">
        <v>342</v>
      </c>
      <c r="B185" s="18" t="s">
        <v>592</v>
      </c>
      <c r="C185" s="18" t="s">
        <v>343</v>
      </c>
      <c r="D185" s="19">
        <v>0</v>
      </c>
      <c r="E185" s="20" t="s">
        <v>1014</v>
      </c>
      <c r="F185" s="21">
        <v>21.8</v>
      </c>
      <c r="G185" s="21">
        <v>0.13200000000000001</v>
      </c>
      <c r="H185" s="15"/>
      <c r="I185" s="15"/>
      <c r="J185" s="15"/>
      <c r="K185" s="15"/>
      <c r="L185" s="15"/>
      <c r="M185" s="15"/>
      <c r="N185" s="15"/>
      <c r="O185" s="15"/>
      <c r="P185" s="15"/>
      <c r="Q185" s="15"/>
      <c r="R185" s="15"/>
      <c r="S185" s="15"/>
      <c r="T185" s="15"/>
      <c r="U185" s="15"/>
      <c r="V185" s="15"/>
      <c r="W185" s="15"/>
      <c r="X185" s="15"/>
      <c r="Y185" s="15"/>
      <c r="Z185" s="15"/>
    </row>
    <row r="186" spans="1:26" ht="45.75" thickBot="1" x14ac:dyDescent="0.3">
      <c r="A186" s="17" t="s">
        <v>344</v>
      </c>
      <c r="B186" s="22" t="s">
        <v>593</v>
      </c>
      <c r="C186" s="22" t="s">
        <v>345</v>
      </c>
      <c r="D186" s="23">
        <v>0</v>
      </c>
      <c r="E186" s="24" t="s">
        <v>1015</v>
      </c>
      <c r="F186" s="25">
        <v>18</v>
      </c>
      <c r="G186" s="25">
        <v>0.109</v>
      </c>
      <c r="H186" s="15"/>
      <c r="I186" s="15"/>
      <c r="J186" s="15"/>
      <c r="K186" s="15"/>
      <c r="L186" s="15"/>
      <c r="M186" s="15"/>
      <c r="N186" s="15"/>
      <c r="O186" s="15"/>
      <c r="P186" s="15"/>
      <c r="Q186" s="15"/>
      <c r="R186" s="15"/>
      <c r="S186" s="15"/>
      <c r="T186" s="15"/>
      <c r="U186" s="15"/>
      <c r="V186" s="15"/>
      <c r="W186" s="15"/>
      <c r="X186" s="15"/>
      <c r="Y186" s="15"/>
      <c r="Z186" s="15"/>
    </row>
    <row r="187" spans="1:26" ht="60.75" thickBot="1" x14ac:dyDescent="0.3">
      <c r="A187" s="17" t="s">
        <v>1055</v>
      </c>
      <c r="B187" s="22" t="s">
        <v>1056</v>
      </c>
      <c r="C187" s="18" t="s">
        <v>1057</v>
      </c>
      <c r="D187" s="23">
        <v>0</v>
      </c>
      <c r="E187" s="20" t="s">
        <v>1058</v>
      </c>
      <c r="F187" s="25">
        <v>0</v>
      </c>
      <c r="G187" s="25">
        <v>0</v>
      </c>
      <c r="H187" s="15"/>
      <c r="I187" s="15"/>
      <c r="J187" s="15"/>
      <c r="K187" s="15"/>
      <c r="L187" s="15"/>
      <c r="M187" s="15"/>
      <c r="N187" s="15"/>
      <c r="O187" s="15"/>
      <c r="P187" s="15"/>
      <c r="Q187" s="15"/>
      <c r="R187" s="15"/>
      <c r="S187" s="15"/>
      <c r="T187" s="15"/>
      <c r="U187" s="15"/>
      <c r="V187" s="15"/>
      <c r="W187" s="15"/>
      <c r="X187" s="15"/>
      <c r="Y187" s="15"/>
      <c r="Z187" s="15"/>
    </row>
    <row r="188" spans="1:26" ht="45.75" thickBot="1" x14ac:dyDescent="0.3">
      <c r="A188" s="17" t="s">
        <v>1059</v>
      </c>
      <c r="B188" s="22" t="s">
        <v>1060</v>
      </c>
      <c r="C188" s="18" t="s">
        <v>1061</v>
      </c>
      <c r="D188" s="23">
        <v>0</v>
      </c>
      <c r="E188" s="20" t="s">
        <v>1062</v>
      </c>
      <c r="F188" s="25">
        <v>0</v>
      </c>
      <c r="G188" s="25">
        <v>0</v>
      </c>
      <c r="H188" s="15"/>
      <c r="I188" s="15"/>
      <c r="J188" s="15"/>
      <c r="K188" s="15"/>
      <c r="L188" s="15"/>
      <c r="M188" s="15"/>
      <c r="N188" s="15"/>
      <c r="O188" s="15"/>
      <c r="P188" s="15"/>
      <c r="Q188" s="15"/>
      <c r="R188" s="15"/>
      <c r="S188" s="15"/>
      <c r="T188" s="15"/>
      <c r="U188" s="15"/>
      <c r="V188" s="15"/>
      <c r="W188" s="15"/>
      <c r="X188" s="15"/>
      <c r="Y188" s="15"/>
      <c r="Z188" s="15"/>
    </row>
    <row r="189" spans="1:26" ht="90.75" thickBot="1" x14ac:dyDescent="0.3">
      <c r="A189" s="17" t="s">
        <v>347</v>
      </c>
      <c r="B189" s="22" t="s">
        <v>595</v>
      </c>
      <c r="C189" s="22" t="s">
        <v>348</v>
      </c>
      <c r="D189" s="23">
        <v>0</v>
      </c>
      <c r="E189" s="24" t="s">
        <v>1017</v>
      </c>
      <c r="F189" s="25">
        <v>32.4</v>
      </c>
      <c r="G189" s="25">
        <v>0.19600000000000001</v>
      </c>
      <c r="H189" s="15"/>
      <c r="I189" s="15"/>
      <c r="J189" s="15"/>
      <c r="K189" s="15"/>
      <c r="L189" s="15"/>
      <c r="M189" s="15"/>
      <c r="N189" s="15"/>
      <c r="O189" s="15"/>
      <c r="P189" s="15"/>
      <c r="Q189" s="15"/>
      <c r="R189" s="15"/>
      <c r="S189" s="15"/>
      <c r="T189" s="15"/>
      <c r="U189" s="15"/>
      <c r="V189" s="15"/>
      <c r="W189" s="15"/>
      <c r="X189" s="15"/>
      <c r="Y189" s="15"/>
      <c r="Z189" s="15"/>
    </row>
    <row r="190" spans="1:26" ht="60.75" thickBot="1" x14ac:dyDescent="0.3">
      <c r="A190" s="16" t="s">
        <v>349</v>
      </c>
      <c r="B190" s="18" t="s">
        <v>596</v>
      </c>
      <c r="C190" s="18" t="s">
        <v>350</v>
      </c>
      <c r="D190" s="19">
        <v>2</v>
      </c>
      <c r="E190" s="20" t="s">
        <v>1018</v>
      </c>
      <c r="F190" s="21">
        <v>12</v>
      </c>
      <c r="G190" s="21">
        <v>3.5999999999999997E-2</v>
      </c>
      <c r="H190" s="15"/>
      <c r="I190" s="15"/>
      <c r="J190" s="15"/>
      <c r="K190" s="15"/>
      <c r="L190" s="15"/>
      <c r="M190" s="15"/>
      <c r="N190" s="15"/>
      <c r="O190" s="15"/>
      <c r="P190" s="15"/>
      <c r="Q190" s="15"/>
      <c r="R190" s="15"/>
      <c r="S190" s="15"/>
      <c r="T190" s="15"/>
      <c r="U190" s="15"/>
      <c r="V190" s="15"/>
      <c r="W190" s="15"/>
      <c r="X190" s="15"/>
      <c r="Y190" s="15"/>
      <c r="Z190" s="15"/>
    </row>
    <row r="191" spans="1:26" ht="75.75" thickBot="1" x14ac:dyDescent="0.3">
      <c r="A191" s="17" t="s">
        <v>351</v>
      </c>
      <c r="B191" s="22" t="s">
        <v>597</v>
      </c>
      <c r="C191" s="22" t="s">
        <v>352</v>
      </c>
      <c r="D191" s="23">
        <v>2</v>
      </c>
      <c r="E191" s="24" t="s">
        <v>1019</v>
      </c>
      <c r="F191" s="25">
        <v>33</v>
      </c>
      <c r="G191" s="25">
        <v>0.3</v>
      </c>
      <c r="H191" s="15"/>
      <c r="I191" s="15"/>
      <c r="J191" s="15"/>
      <c r="K191" s="15"/>
      <c r="L191" s="15"/>
      <c r="M191" s="15"/>
      <c r="N191" s="15"/>
      <c r="O191" s="15"/>
      <c r="P191" s="15"/>
      <c r="Q191" s="15"/>
      <c r="R191" s="15"/>
      <c r="S191" s="15"/>
      <c r="T191" s="15"/>
      <c r="U191" s="15"/>
      <c r="V191" s="15"/>
      <c r="W191" s="15"/>
      <c r="X191" s="15"/>
      <c r="Y191" s="15"/>
      <c r="Z191" s="15"/>
    </row>
    <row r="192" spans="1:26" ht="75.75" thickBot="1" x14ac:dyDescent="0.3">
      <c r="A192" s="16" t="s">
        <v>353</v>
      </c>
      <c r="B192" s="18" t="s">
        <v>598</v>
      </c>
      <c r="C192" s="18" t="s">
        <v>354</v>
      </c>
      <c r="D192" s="19">
        <v>1</v>
      </c>
      <c r="E192" s="20" t="s">
        <v>1020</v>
      </c>
      <c r="F192" s="21">
        <v>21.8</v>
      </c>
      <c r="G192" s="21">
        <v>0.20799999999999999</v>
      </c>
      <c r="H192" s="15"/>
      <c r="I192" s="15"/>
      <c r="J192" s="15"/>
      <c r="K192" s="15"/>
      <c r="L192" s="15"/>
      <c r="M192" s="15"/>
      <c r="N192" s="15"/>
      <c r="O192" s="15"/>
      <c r="P192" s="15"/>
      <c r="Q192" s="15"/>
      <c r="R192" s="15"/>
      <c r="S192" s="15"/>
      <c r="T192" s="15"/>
      <c r="U192" s="15"/>
      <c r="V192" s="15"/>
      <c r="W192" s="15"/>
      <c r="X192" s="15"/>
      <c r="Y192" s="15"/>
      <c r="Z192" s="15"/>
    </row>
    <row r="193" spans="1:26" ht="75.75" thickBot="1" x14ac:dyDescent="0.3">
      <c r="A193" s="17" t="s">
        <v>355</v>
      </c>
      <c r="B193" s="22" t="s">
        <v>599</v>
      </c>
      <c r="C193" s="22" t="s">
        <v>356</v>
      </c>
      <c r="D193" s="23">
        <v>61</v>
      </c>
      <c r="E193" s="24" t="s">
        <v>1021</v>
      </c>
      <c r="F193" s="25">
        <v>24</v>
      </c>
      <c r="G193" s="25">
        <v>0.14499999999999999</v>
      </c>
      <c r="H193" s="15"/>
      <c r="I193" s="15"/>
      <c r="J193" s="15"/>
      <c r="K193" s="15"/>
      <c r="L193" s="15"/>
      <c r="M193" s="15"/>
      <c r="N193" s="15"/>
      <c r="O193" s="15"/>
      <c r="P193" s="15"/>
      <c r="Q193" s="15"/>
      <c r="R193" s="15"/>
      <c r="S193" s="15"/>
      <c r="T193" s="15"/>
      <c r="U193" s="15"/>
      <c r="V193" s="15"/>
      <c r="W193" s="15"/>
      <c r="X193" s="15"/>
      <c r="Y193" s="15"/>
      <c r="Z193" s="15"/>
    </row>
    <row r="194" spans="1:26" ht="135.75" thickBot="1" x14ac:dyDescent="0.3">
      <c r="A194" s="16" t="s">
        <v>357</v>
      </c>
      <c r="B194" s="18" t="s">
        <v>600</v>
      </c>
      <c r="C194" s="18" t="s">
        <v>358</v>
      </c>
      <c r="D194" s="19">
        <v>2</v>
      </c>
      <c r="E194" s="20" t="s">
        <v>1022</v>
      </c>
      <c r="F194" s="21">
        <v>32</v>
      </c>
      <c r="G194" s="21">
        <v>0.25600000000000001</v>
      </c>
      <c r="H194" s="15"/>
      <c r="I194" s="15"/>
      <c r="J194" s="15"/>
      <c r="K194" s="15"/>
      <c r="L194" s="15"/>
      <c r="M194" s="15"/>
      <c r="N194" s="15"/>
      <c r="O194" s="15"/>
      <c r="P194" s="15"/>
      <c r="Q194" s="15"/>
      <c r="R194" s="15"/>
      <c r="S194" s="15"/>
      <c r="T194" s="15"/>
      <c r="U194" s="15"/>
      <c r="V194" s="15"/>
      <c r="W194" s="15"/>
      <c r="X194" s="15"/>
      <c r="Y194" s="15"/>
      <c r="Z194" s="15"/>
    </row>
    <row r="195" spans="1:26" ht="45.75" thickBot="1" x14ac:dyDescent="0.3">
      <c r="A195" s="17" t="s">
        <v>359</v>
      </c>
      <c r="B195" s="22" t="s">
        <v>601</v>
      </c>
      <c r="C195" s="22" t="s">
        <v>360</v>
      </c>
      <c r="D195" s="23">
        <v>54</v>
      </c>
      <c r="E195" s="24" t="s">
        <v>1023</v>
      </c>
      <c r="F195" s="25">
        <v>16</v>
      </c>
      <c r="G195" s="25">
        <v>8.4000000000000005E-2</v>
      </c>
      <c r="H195" s="15"/>
      <c r="I195" s="15"/>
      <c r="J195" s="15"/>
      <c r="K195" s="15"/>
      <c r="L195" s="15"/>
      <c r="M195" s="15"/>
      <c r="N195" s="15"/>
      <c r="O195" s="15"/>
      <c r="P195" s="15"/>
      <c r="Q195" s="15"/>
      <c r="R195" s="15"/>
      <c r="S195" s="15"/>
      <c r="T195" s="15"/>
      <c r="U195" s="15"/>
      <c r="V195" s="15"/>
      <c r="W195" s="15"/>
      <c r="X195" s="15"/>
      <c r="Y195" s="15"/>
      <c r="Z195" s="15"/>
    </row>
    <row r="196" spans="1:26" ht="75.75" thickBot="1" x14ac:dyDescent="0.3">
      <c r="A196" s="16" t="s">
        <v>361</v>
      </c>
      <c r="B196" s="18" t="s">
        <v>602</v>
      </c>
      <c r="C196" s="18" t="s">
        <v>362</v>
      </c>
      <c r="D196" s="19">
        <v>50</v>
      </c>
      <c r="E196" s="20" t="s">
        <v>1024</v>
      </c>
      <c r="F196" s="21">
        <v>11.7</v>
      </c>
      <c r="G196" s="21">
        <v>7.1999999999999995E-2</v>
      </c>
      <c r="H196" s="15"/>
      <c r="I196" s="15"/>
      <c r="J196" s="15"/>
      <c r="K196" s="15"/>
      <c r="L196" s="15"/>
      <c r="M196" s="15"/>
      <c r="N196" s="15"/>
      <c r="O196" s="15"/>
      <c r="P196" s="15"/>
      <c r="Q196" s="15"/>
      <c r="R196" s="15"/>
      <c r="S196" s="15"/>
      <c r="T196" s="15"/>
      <c r="U196" s="15"/>
      <c r="V196" s="15"/>
      <c r="W196" s="15"/>
      <c r="X196" s="15"/>
      <c r="Y196" s="15"/>
      <c r="Z196" s="15"/>
    </row>
    <row r="197" spans="1:26" ht="105.75" thickBot="1" x14ac:dyDescent="0.3">
      <c r="A197" s="17" t="s">
        <v>363</v>
      </c>
      <c r="B197" s="22" t="s">
        <v>603</v>
      </c>
      <c r="C197" s="22" t="s">
        <v>364</v>
      </c>
      <c r="D197" s="23">
        <v>0</v>
      </c>
      <c r="E197" s="24" t="s">
        <v>1025</v>
      </c>
      <c r="F197" s="25">
        <v>25.7</v>
      </c>
      <c r="G197" s="25">
        <v>0.30599999999999999</v>
      </c>
      <c r="H197" s="15"/>
      <c r="I197" s="15"/>
      <c r="J197" s="15"/>
      <c r="K197" s="15"/>
      <c r="L197" s="15"/>
      <c r="M197" s="15"/>
      <c r="N197" s="15"/>
      <c r="O197" s="15"/>
      <c r="P197" s="15"/>
      <c r="Q197" s="15"/>
      <c r="R197" s="15"/>
      <c r="S197" s="15"/>
      <c r="T197" s="15"/>
      <c r="U197" s="15"/>
      <c r="V197" s="15"/>
      <c r="W197" s="15"/>
      <c r="X197" s="15"/>
      <c r="Y197" s="15"/>
      <c r="Z197" s="15"/>
    </row>
    <row r="198" spans="1:26" ht="90.75" thickBot="1" x14ac:dyDescent="0.3">
      <c r="A198" s="16" t="s">
        <v>365</v>
      </c>
      <c r="B198" s="18" t="s">
        <v>604</v>
      </c>
      <c r="C198" s="18" t="s">
        <v>366</v>
      </c>
      <c r="D198" s="19">
        <v>1</v>
      </c>
      <c r="E198" s="20" t="s">
        <v>1026</v>
      </c>
      <c r="F198" s="21">
        <v>31.7</v>
      </c>
      <c r="G198" s="21">
        <v>0.31900000000000001</v>
      </c>
      <c r="H198" s="15"/>
      <c r="I198" s="15"/>
      <c r="J198" s="15"/>
      <c r="K198" s="15"/>
      <c r="L198" s="15"/>
      <c r="M198" s="15"/>
      <c r="N198" s="15"/>
      <c r="O198" s="15"/>
      <c r="P198" s="15"/>
      <c r="Q198" s="15"/>
      <c r="R198" s="15"/>
      <c r="S198" s="15"/>
      <c r="T198" s="15"/>
      <c r="U198" s="15"/>
      <c r="V198" s="15"/>
      <c r="W198" s="15"/>
      <c r="X198" s="15"/>
      <c r="Y198" s="15"/>
      <c r="Z198" s="15"/>
    </row>
    <row r="199" spans="1:26" ht="45.75" thickBot="1" x14ac:dyDescent="0.3">
      <c r="A199" s="17" t="s">
        <v>367</v>
      </c>
      <c r="B199" s="22" t="s">
        <v>605</v>
      </c>
      <c r="C199" s="22" t="s">
        <v>368</v>
      </c>
      <c r="D199" s="23">
        <v>115</v>
      </c>
      <c r="E199" s="24" t="s">
        <v>1027</v>
      </c>
      <c r="F199" s="25">
        <v>11.6</v>
      </c>
      <c r="G199" s="25">
        <v>9.7000000000000003E-2</v>
      </c>
      <c r="H199" s="15"/>
      <c r="I199" s="15"/>
      <c r="J199" s="15"/>
      <c r="K199" s="15"/>
      <c r="L199" s="15"/>
      <c r="M199" s="15"/>
      <c r="N199" s="15"/>
      <c r="O199" s="15"/>
      <c r="P199" s="15"/>
      <c r="Q199" s="15"/>
      <c r="R199" s="15"/>
      <c r="S199" s="15"/>
      <c r="T199" s="15"/>
      <c r="U199" s="15"/>
      <c r="V199" s="15"/>
      <c r="W199" s="15"/>
      <c r="X199" s="15"/>
      <c r="Y199" s="15"/>
      <c r="Z199" s="15"/>
    </row>
    <row r="200" spans="1:26" ht="45.75" thickBot="1" x14ac:dyDescent="0.3">
      <c r="A200" s="17" t="s">
        <v>1063</v>
      </c>
      <c r="B200" s="22" t="s">
        <v>1064</v>
      </c>
      <c r="C200" s="22" t="s">
        <v>1065</v>
      </c>
      <c r="D200" s="23">
        <v>0</v>
      </c>
      <c r="E200" s="24" t="s">
        <v>1066</v>
      </c>
      <c r="F200" s="30" cm="1">
        <f t="array" ref="F200">ROUND(SUM(_xlfn.LET(_xlpm.lines,_xlfn.TEXTSPLIT(C200,,CHAR(10)),_xlpm.nm,TRIM(_xlfn.TEXTBEFORE(_xlpm.lines," – ")),_xlpm.amt,VALUE(_xlfn.TEXTBEFORE(_xlfn.TEXTAFTER(_xlpm.lines," – ")," ")),_xlpm.abv,_xlfn.IFNA(_xlfn.XLOOKUP(_xlpm.nm,'Alcohol by Category'!$A$13:$A$95,'Alcohol by Category'!$E$13:$E$95),_xlfn.IFNA(_xlfn.XLOOKUP(_xlpm.nm,'Alcohol by Category'!$A$99:$A$107,'Alcohol by Category'!$E$99:$E$107),0)),_xlpm.amt*_xlpm.abv)),1)</f>
        <v>18.8</v>
      </c>
      <c r="G200" s="30" cm="1">
        <f t="array" ref="G200">ROUND(F200/SUM(_xlfn.LET(_xlpm.lines,_xlfn.TEXTSPLIT(C200,,CHAR(10)),_xlpm.amt,VALUE(_xlfn.TEXTBEFORE(_xlfn.TEXTAFTER(_xlpm.lines," – ")," ")),_xlpm.amt)),3)</f>
        <v>0.157</v>
      </c>
      <c r="H200" s="15"/>
      <c r="I200" s="15"/>
      <c r="J200" s="15"/>
      <c r="K200" s="15"/>
      <c r="L200" s="15"/>
      <c r="M200" s="15"/>
      <c r="N200" s="15"/>
      <c r="O200" s="15"/>
      <c r="P200" s="15"/>
      <c r="Q200" s="15"/>
      <c r="R200" s="15"/>
      <c r="S200" s="15"/>
      <c r="T200" s="15"/>
      <c r="U200" s="15"/>
      <c r="V200" s="15"/>
      <c r="W200" s="15"/>
      <c r="X200" s="15"/>
      <c r="Y200" s="15"/>
      <c r="Z200" s="15"/>
    </row>
    <row r="201" spans="1:26" ht="45.75" thickBot="1" x14ac:dyDescent="0.3">
      <c r="A201" s="17" t="s">
        <v>1067</v>
      </c>
      <c r="B201" s="22" t="s">
        <v>1068</v>
      </c>
      <c r="C201" s="22" t="s">
        <v>1069</v>
      </c>
      <c r="D201" s="23">
        <v>1</v>
      </c>
      <c r="E201" s="24" t="s">
        <v>1070</v>
      </c>
      <c r="F201" s="30" cm="1">
        <f t="array" ref="F201">ROUND(SUM(_xlfn.LET(_xlpm.lines,_xlfn.TEXTSPLIT(C201,,CHAR(10)),_xlpm.nm,TRIM(_xlfn.TEXTBEFORE(_xlpm.lines," – ")),_xlpm.amt,VALUE(_xlfn.TEXTBEFORE(_xlfn.TEXTAFTER(_xlpm.lines," – ")," ")),_xlpm.abv,_xlfn.IFNA(_xlfn.XLOOKUP(_xlpm.nm,'Alcohol by Category'!$A$13:$A$95,'Alcohol by Category'!$E$13:$E$95),_xlfn.IFNA(_xlfn.XLOOKUP(_xlpm.nm,'Alcohol by Category'!$A$99:$A$107,'Alcohol by Category'!$E$99:$E$107),0)),_xlpm.amt*_xlpm.abv)),1)</f>
        <v>17.2</v>
      </c>
      <c r="G201" s="30" cm="1">
        <f t="array" ref="G201">ROUND(F201/SUM(_xlfn.LET(_xlpm.lines,_xlfn.TEXTSPLIT(C201,,CHAR(10)),_xlpm.amt,VALUE(_xlfn.TEXTBEFORE(_xlfn.TEXTAFTER(_xlpm.lines," – ")," ")),_xlpm.amt)),3)</f>
        <v>0.14299999999999999</v>
      </c>
      <c r="H201" s="15"/>
      <c r="I201" s="15"/>
      <c r="J201" s="15"/>
      <c r="K201" s="15"/>
      <c r="L201" s="15"/>
      <c r="M201" s="15"/>
      <c r="N201" s="15"/>
      <c r="O201" s="15"/>
      <c r="P201" s="15"/>
      <c r="Q201" s="15"/>
      <c r="R201" s="15"/>
      <c r="S201" s="15"/>
      <c r="T201" s="15"/>
      <c r="U201" s="15"/>
      <c r="V201" s="15"/>
      <c r="W201" s="15"/>
      <c r="X201" s="15"/>
      <c r="Y201" s="15"/>
      <c r="Z201" s="15"/>
    </row>
    <row r="202" spans="1:26" ht="45.75" thickBot="1" x14ac:dyDescent="0.3">
      <c r="A202" s="17" t="s">
        <v>1071</v>
      </c>
      <c r="B202" s="22" t="s">
        <v>1072</v>
      </c>
      <c r="C202" s="22" t="s">
        <v>1073</v>
      </c>
      <c r="D202" s="23">
        <v>3</v>
      </c>
      <c r="E202" s="24" t="s">
        <v>1074</v>
      </c>
      <c r="F202" s="30" cm="1">
        <f t="array" ref="F202">ROUND(SUM(_xlfn.LET(_xlpm.lines,_xlfn.TEXTSPLIT(C202,,CHAR(10)),_xlpm.nm,TRIM(_xlfn.TEXTBEFORE(_xlpm.lines," – ")),_xlpm.amt,VALUE(_xlfn.TEXTBEFORE(_xlfn.TEXTAFTER(_xlpm.lines," – ")," ")),_xlpm.abv,_xlfn.IFNA(_xlfn.XLOOKUP(_xlpm.nm,'Alcohol by Category'!$A$13:$A$95,'Alcohol by Category'!$E$13:$E$95),_xlfn.IFNA(_xlfn.XLOOKUP(_xlpm.nm,'Alcohol by Category'!$A$99:$A$107,'Alcohol by Category'!$E$99:$E$107),0)),_xlpm.amt*_xlpm.abv)),1)</f>
        <v>13.8</v>
      </c>
      <c r="G202" s="30" cm="1">
        <f t="array" ref="G202">ROUND(F202/SUM(_xlfn.LET(_xlpm.lines,_xlfn.TEXTSPLIT(C202,,CHAR(10)),_xlpm.amt,VALUE(_xlfn.TEXTBEFORE(_xlfn.TEXTAFTER(_xlpm.lines," – ")," ")),_xlpm.amt)),3)</f>
        <v>0.115</v>
      </c>
      <c r="H202" s="15"/>
      <c r="I202" s="15"/>
      <c r="J202" s="15"/>
      <c r="K202" s="15"/>
      <c r="L202" s="15"/>
      <c r="M202" s="15"/>
      <c r="N202" s="15"/>
      <c r="O202" s="15"/>
      <c r="P202" s="15"/>
      <c r="Q202" s="15"/>
      <c r="R202" s="15"/>
      <c r="S202" s="15"/>
      <c r="T202" s="15"/>
      <c r="U202" s="15"/>
      <c r="V202" s="15"/>
      <c r="W202" s="15"/>
      <c r="X202" s="15"/>
      <c r="Y202" s="15"/>
      <c r="Z202" s="15"/>
    </row>
    <row r="203" spans="1:26" ht="45.75" thickBot="1" x14ac:dyDescent="0.3">
      <c r="A203" s="17" t="s">
        <v>1075</v>
      </c>
      <c r="B203" s="22" t="s">
        <v>1076</v>
      </c>
      <c r="C203" s="22" t="s">
        <v>1077</v>
      </c>
      <c r="D203" s="23">
        <v>3</v>
      </c>
      <c r="E203" s="24" t="s">
        <v>1078</v>
      </c>
      <c r="F203" s="30" cm="1">
        <f t="array" ref="F203">ROUND(SUM(_xlfn.LET(_xlpm.lines,_xlfn.TEXTSPLIT(C203,,CHAR(10)),_xlpm.nm,TRIM(_xlfn.TEXTBEFORE(_xlpm.lines," – ")),_xlpm.amt,VALUE(_xlfn.TEXTBEFORE(_xlfn.TEXTAFTER(_xlpm.lines," – ")," ")),_xlpm.abv,_xlfn.IFNA(_xlfn.XLOOKUP(_xlpm.nm,'Alcohol by Category'!$A$13:$A$95,'Alcohol by Category'!$E$13:$E$95),_xlfn.IFNA(_xlfn.XLOOKUP(_xlpm.nm,'Alcohol by Category'!$A$99:$A$107,'Alcohol by Category'!$E$99:$E$107),0)),_xlpm.amt*_xlpm.abv)),1)</f>
        <v>15.2</v>
      </c>
      <c r="G203" s="30" cm="1">
        <f t="array" ref="G203">ROUND(F203/SUM(_xlfn.LET(_xlpm.lines,_xlfn.TEXTSPLIT(C203,,CHAR(10)),_xlpm.amt,VALUE(_xlfn.TEXTBEFORE(_xlfn.TEXTAFTER(_xlpm.lines," – ")," ")),_xlpm.amt)),3)</f>
        <v>0.127</v>
      </c>
      <c r="H203" s="15"/>
      <c r="I203" s="15"/>
      <c r="J203" s="15"/>
      <c r="K203" s="15"/>
      <c r="L203" s="15"/>
      <c r="M203" s="15"/>
      <c r="N203" s="15"/>
      <c r="O203" s="15"/>
      <c r="P203" s="15"/>
      <c r="Q203" s="15"/>
      <c r="R203" s="15"/>
      <c r="S203" s="15"/>
      <c r="T203" s="15"/>
      <c r="U203" s="15"/>
      <c r="V203" s="15"/>
      <c r="W203" s="15"/>
      <c r="X203" s="15"/>
      <c r="Y203" s="15"/>
      <c r="Z203" s="15"/>
    </row>
    <row r="204" spans="1:26" ht="45.75" thickBot="1" x14ac:dyDescent="0.3">
      <c r="A204" s="17" t="s">
        <v>1079</v>
      </c>
      <c r="B204" s="22" t="s">
        <v>1080</v>
      </c>
      <c r="C204" s="22" t="s">
        <v>1081</v>
      </c>
      <c r="D204" s="23">
        <v>0</v>
      </c>
      <c r="E204" s="24" t="s">
        <v>1082</v>
      </c>
      <c r="F204" s="30" cm="1">
        <f t="array" ref="F204">ROUND(SUM(_xlfn.LET(_xlpm.lines,_xlfn.TEXTSPLIT(C204,,CHAR(10)),_xlpm.nm,TRIM(_xlfn.TEXTBEFORE(_xlpm.lines," – ")),_xlpm.amt,VALUE(_xlfn.TEXTBEFORE(_xlfn.TEXTAFTER(_xlpm.lines," – ")," ")),_xlpm.abv,_xlfn.IFNA(_xlfn.XLOOKUP(_xlpm.nm,'Alcohol by Category'!$A$13:$A$95,'Alcohol by Category'!$E$13:$E$95),_xlfn.IFNA(_xlfn.XLOOKUP(_xlpm.nm,'Alcohol by Category'!$A$99:$A$107,'Alcohol by Category'!$E$99:$E$107),0)),_xlpm.amt*_xlpm.abv)),1)</f>
        <v>15.2</v>
      </c>
      <c r="G204" s="30" cm="1">
        <f t="array" ref="G204">ROUND(F204/SUM(_xlfn.LET(_xlpm.lines,_xlfn.TEXTSPLIT(C204,,CHAR(10)),_xlpm.amt,VALUE(_xlfn.TEXTBEFORE(_xlfn.TEXTAFTER(_xlpm.lines," – ")," ")),_xlpm.amt)),3)</f>
        <v>0.127</v>
      </c>
      <c r="H204" s="15"/>
      <c r="I204" s="15"/>
      <c r="J204" s="15"/>
      <c r="K204" s="15"/>
      <c r="L204" s="15"/>
      <c r="M204" s="15"/>
      <c r="N204" s="15"/>
      <c r="O204" s="15"/>
      <c r="P204" s="15"/>
      <c r="Q204" s="15"/>
      <c r="R204" s="15"/>
      <c r="S204" s="15"/>
      <c r="T204" s="15"/>
      <c r="U204" s="15"/>
      <c r="V204" s="15"/>
      <c r="W204" s="15"/>
      <c r="X204" s="15"/>
      <c r="Y204" s="15"/>
      <c r="Z204" s="15"/>
    </row>
    <row r="205" spans="1:26" ht="45.75" thickBot="1" x14ac:dyDescent="0.3">
      <c r="A205" s="17" t="s">
        <v>1088</v>
      </c>
      <c r="B205" s="22" t="s">
        <v>1089</v>
      </c>
      <c r="C205" s="22" t="s">
        <v>1090</v>
      </c>
      <c r="D205" s="23">
        <v>0</v>
      </c>
      <c r="E205" s="24" t="s">
        <v>1091</v>
      </c>
      <c r="F205" s="30" cm="1">
        <f t="array" ref="F205">ROUND(SUM(_xlfn.LET(_xlpm.lines,_xlfn.TEXTSPLIT(C205,,CHAR(10)),_xlpm.nm,TRIM(_xlfn.TEXTBEFORE(_xlpm.lines," – ")),_xlpm.amt,VALUE(_xlfn.TEXTBEFORE(_xlfn.TEXTAFTER(_xlpm.lines," – ")," ")),_xlpm.abv,_xlfn.IFNA(_xlfn.XLOOKUP(_xlpm.nm,'Alcohol by Category'!$A$13:$A$95,'Alcohol by Category'!$E$13:$E$95),_xlfn.IFNA(_xlfn.XLOOKUP(_xlpm.nm,'Alcohol by Category'!$A$99:$A$107,'Alcohol by Category'!$E$99:$E$107),0)),_xlpm.amt*_xlpm.abv)),1)</f>
        <v>19.2</v>
      </c>
      <c r="G205" s="30" cm="1">
        <f t="array" ref="G205">ROUND(F205/SUM(_xlfn.LET(_xlpm.lines,_xlfn.TEXTSPLIT(C205,,CHAR(10)),_xlpm.amt,VALUE(_xlfn.TEXTBEFORE(_xlfn.TEXTAFTER(_xlpm.lines," – ")," ")),_xlpm.amt)),3)</f>
        <v>0.16</v>
      </c>
      <c r="H205" s="15"/>
      <c r="I205" s="15"/>
      <c r="J205" s="15"/>
      <c r="K205" s="15"/>
      <c r="L205" s="15"/>
      <c r="M205" s="15"/>
      <c r="N205" s="15"/>
      <c r="O205" s="15"/>
      <c r="P205" s="15"/>
      <c r="Q205" s="15"/>
      <c r="R205" s="15"/>
      <c r="S205" s="15"/>
      <c r="T205" s="15"/>
      <c r="U205" s="15"/>
      <c r="V205" s="15"/>
      <c r="W205" s="15"/>
      <c r="X205" s="15"/>
      <c r="Y205" s="15"/>
      <c r="Z205" s="15"/>
    </row>
    <row r="206" spans="1:26" ht="60.75" thickBot="1" x14ac:dyDescent="0.3">
      <c r="A206" s="17" t="s">
        <v>1092</v>
      </c>
      <c r="B206" s="22" t="s">
        <v>1093</v>
      </c>
      <c r="C206" s="22" t="s">
        <v>1094</v>
      </c>
      <c r="D206" s="23">
        <v>1</v>
      </c>
      <c r="E206" s="24" t="s">
        <v>1095</v>
      </c>
      <c r="F206" s="30" cm="1">
        <f t="array" ref="F206">ROUND(SUM(_xlfn.LET(_xlpm.lines,_xlfn.TEXTSPLIT(C206,,CHAR(10)),_xlpm.nm,TRIM(_xlfn.TEXTBEFORE(_xlpm.lines," – ")),_xlpm.amt,VALUE(_xlfn.TEXTBEFORE(_xlfn.TEXTAFTER(_xlpm.lines," – ")," ")),_xlpm.abv,_xlfn.IFNA(_xlfn.XLOOKUP(_xlpm.nm,'Alcohol by Category'!$A$13:$A$95,'Alcohol by Category'!$E$13:$E$95),_xlfn.IFNA(_xlfn.XLOOKUP(_xlpm.nm,'Alcohol by Category'!$A$99:$A$107,'Alcohol by Category'!$E$99:$E$107),0)),_xlpm.amt*_xlpm.abv)),1)</f>
        <v>12.8</v>
      </c>
      <c r="G206" s="30" cm="1">
        <f t="array" ref="G206">ROUND(F206/SUM(_xlfn.LET(_xlpm.lines,_xlfn.TEXTSPLIT(C206,,CHAR(10)),_xlpm.amt,VALUE(_xlfn.TEXTBEFORE(_xlfn.TEXTAFTER(_xlpm.lines," – ")," ")),_xlpm.amt)),3)</f>
        <v>0.10199999999999999</v>
      </c>
      <c r="H206" s="15"/>
      <c r="I206" s="15"/>
      <c r="J206" s="15"/>
      <c r="K206" s="15"/>
      <c r="L206" s="15"/>
      <c r="M206" s="15"/>
      <c r="N206" s="15"/>
      <c r="O206" s="15"/>
      <c r="P206" s="15"/>
      <c r="Q206" s="15"/>
      <c r="R206" s="15"/>
      <c r="S206" s="15"/>
      <c r="T206" s="15"/>
      <c r="U206" s="15"/>
      <c r="V206" s="15"/>
      <c r="W206" s="15"/>
      <c r="X206" s="15"/>
      <c r="Y206" s="15"/>
      <c r="Z206" s="15"/>
    </row>
    <row r="207" spans="1:26" ht="45.75" thickBot="1" x14ac:dyDescent="0.3">
      <c r="A207" s="17" t="s">
        <v>1083</v>
      </c>
      <c r="B207" s="22" t="s">
        <v>1084</v>
      </c>
      <c r="C207" s="22" t="s">
        <v>1085</v>
      </c>
      <c r="D207" s="23">
        <v>6</v>
      </c>
      <c r="E207" s="24" t="s">
        <v>1086</v>
      </c>
      <c r="F207" s="30" cm="1">
        <f t="array" ref="F207">ROUND(SUM(_xlfn.LET(_xlpm.lines,_xlfn.TEXTSPLIT(C207,,CHAR(10)),_xlpm.nm,TRIM(_xlfn.TEXTBEFORE(_xlpm.lines," – ")),_xlpm.amt,VALUE(_xlfn.TEXTBEFORE(_xlfn.TEXTAFTER(_xlpm.lines," – ")," ")),_xlpm.abv,_xlfn.IFNA(_xlfn.XLOOKUP(_xlpm.nm,'Alcohol by Category'!$A$13:$A$95,'Alcohol by Category'!$E$13:$E$95),_xlfn.IFNA(_xlfn.XLOOKUP(_xlpm.nm,'Alcohol by Category'!$A$99:$A$107,'Alcohol by Category'!$E$99:$E$107),0)),_xlpm.amt*_xlpm.abv)),1)</f>
        <v>14.2</v>
      </c>
      <c r="G207" s="30" cm="1">
        <f t="array" ref="G207">ROUND(F207/SUM(_xlfn.LET(_xlpm.lines,_xlfn.TEXTSPLIT(C207,,CHAR(10)),_xlpm.amt,VALUE(_xlfn.TEXTBEFORE(_xlfn.TEXTAFTER(_xlpm.lines," – ")," ")),_xlpm.amt)),3)</f>
        <v>0.11799999999999999</v>
      </c>
      <c r="H207" s="15"/>
      <c r="I207" s="15"/>
      <c r="J207" s="15"/>
      <c r="K207" s="15"/>
      <c r="L207" s="15"/>
      <c r="M207" s="15"/>
      <c r="N207" s="15"/>
      <c r="O207" s="15"/>
      <c r="P207" s="15"/>
      <c r="Q207" s="15"/>
      <c r="R207" s="15"/>
      <c r="S207" s="15"/>
      <c r="T207" s="15"/>
      <c r="U207" s="15"/>
      <c r="V207" s="15"/>
      <c r="W207" s="15"/>
      <c r="X207" s="15"/>
      <c r="Y207" s="15"/>
      <c r="Z207" s="15"/>
    </row>
    <row r="208" spans="1:26" ht="45.75" thickBot="1" x14ac:dyDescent="0.3">
      <c r="A208" s="17" t="s">
        <v>1087</v>
      </c>
      <c r="B208" s="22" t="s">
        <v>521</v>
      </c>
      <c r="C208" s="22" t="s">
        <v>202</v>
      </c>
      <c r="D208" s="23">
        <v>6</v>
      </c>
      <c r="E208" s="24" t="s">
        <v>920</v>
      </c>
      <c r="F208" s="25">
        <v>15.2</v>
      </c>
      <c r="G208" s="25">
        <v>0.127</v>
      </c>
      <c r="H208" s="15"/>
      <c r="I208" s="15"/>
      <c r="J208" s="15"/>
      <c r="K208" s="15"/>
      <c r="L208" s="15"/>
      <c r="M208" s="15"/>
      <c r="N208" s="15"/>
      <c r="O208" s="15"/>
      <c r="P208" s="15"/>
      <c r="Q208" s="15"/>
      <c r="R208" s="15"/>
      <c r="S208" s="15"/>
      <c r="T208" s="15"/>
      <c r="U208" s="15"/>
      <c r="V208" s="15"/>
      <c r="W208" s="15"/>
      <c r="X208" s="15"/>
      <c r="Y208" s="15"/>
      <c r="Z208" s="15"/>
    </row>
    <row r="209" spans="1:26" ht="60.75" thickBot="1" x14ac:dyDescent="0.3">
      <c r="A209" s="17" t="s">
        <v>369</v>
      </c>
      <c r="B209" s="22" t="s">
        <v>606</v>
      </c>
      <c r="C209" s="22" t="s">
        <v>370</v>
      </c>
      <c r="D209" s="23">
        <v>5</v>
      </c>
      <c r="E209" s="24" t="s">
        <v>1028</v>
      </c>
      <c r="F209" s="25">
        <v>21.3</v>
      </c>
      <c r="G209" s="25">
        <v>0.158</v>
      </c>
      <c r="H209" s="15"/>
      <c r="I209" s="15"/>
      <c r="J209" s="15"/>
      <c r="K209" s="15"/>
      <c r="L209" s="15"/>
      <c r="M209" s="15"/>
      <c r="N209" s="15"/>
      <c r="O209" s="15"/>
      <c r="P209" s="15"/>
      <c r="Q209" s="15"/>
      <c r="R209" s="15"/>
      <c r="S209" s="15"/>
      <c r="T209" s="15"/>
      <c r="U209" s="15"/>
      <c r="V209" s="15"/>
      <c r="W209" s="15"/>
      <c r="X209" s="15"/>
      <c r="Y209" s="15"/>
      <c r="Z209" s="15"/>
    </row>
    <row r="210" spans="1:26" ht="90.75" thickBot="1" x14ac:dyDescent="0.3">
      <c r="A210" s="16" t="s">
        <v>371</v>
      </c>
      <c r="B210" s="18" t="s">
        <v>607</v>
      </c>
      <c r="C210" s="18" t="s">
        <v>372</v>
      </c>
      <c r="D210" s="19">
        <v>0</v>
      </c>
      <c r="E210" s="20" t="s">
        <v>1029</v>
      </c>
      <c r="F210" s="21">
        <v>22.8</v>
      </c>
      <c r="G210" s="21">
        <v>0.36499999999999999</v>
      </c>
      <c r="H210" s="15"/>
      <c r="I210" s="15"/>
      <c r="J210" s="15"/>
      <c r="K210" s="15"/>
      <c r="L210" s="15"/>
      <c r="M210" s="15"/>
      <c r="N210" s="15"/>
      <c r="O210" s="15"/>
      <c r="P210" s="15"/>
      <c r="Q210" s="15"/>
      <c r="R210" s="15"/>
      <c r="S210" s="15"/>
      <c r="T210" s="15"/>
      <c r="U210" s="15"/>
      <c r="V210" s="15"/>
      <c r="W210" s="15"/>
      <c r="X210" s="15"/>
      <c r="Y210" s="15"/>
      <c r="Z210" s="15"/>
    </row>
    <row r="211" spans="1:26" ht="60.75" thickBot="1" x14ac:dyDescent="0.3">
      <c r="A211" s="17" t="s">
        <v>373</v>
      </c>
      <c r="B211" s="22" t="s">
        <v>608</v>
      </c>
      <c r="C211" s="22" t="s">
        <v>374</v>
      </c>
      <c r="D211" s="23">
        <v>2</v>
      </c>
      <c r="E211" s="24" t="s">
        <v>1030</v>
      </c>
      <c r="F211" s="25">
        <v>13.5</v>
      </c>
      <c r="G211" s="25">
        <v>0.113</v>
      </c>
      <c r="H211" s="15"/>
      <c r="I211" s="15"/>
      <c r="J211" s="15"/>
      <c r="K211" s="15"/>
      <c r="L211" s="15"/>
      <c r="M211" s="15"/>
      <c r="N211" s="15"/>
      <c r="O211" s="15"/>
      <c r="P211" s="15"/>
      <c r="Q211" s="15"/>
      <c r="R211" s="15"/>
      <c r="S211" s="15"/>
      <c r="T211" s="15"/>
      <c r="U211" s="15"/>
      <c r="V211" s="15"/>
      <c r="W211" s="15"/>
      <c r="X211" s="15"/>
      <c r="Y211" s="15"/>
      <c r="Z211" s="15"/>
    </row>
    <row r="212" spans="1:26" ht="45.75" thickBot="1" x14ac:dyDescent="0.3">
      <c r="A212" s="16" t="s">
        <v>375</v>
      </c>
      <c r="B212" s="18" t="s">
        <v>609</v>
      </c>
      <c r="C212" s="18" t="s">
        <v>376</v>
      </c>
      <c r="D212" s="19">
        <v>4</v>
      </c>
      <c r="E212" s="20" t="s">
        <v>1031</v>
      </c>
      <c r="F212" s="21">
        <v>22.8</v>
      </c>
      <c r="G212" s="21">
        <v>0.28499999999999998</v>
      </c>
      <c r="H212" s="15"/>
      <c r="I212" s="15"/>
      <c r="J212" s="15"/>
      <c r="K212" s="15"/>
      <c r="L212" s="15"/>
      <c r="M212" s="15"/>
      <c r="N212" s="15"/>
      <c r="O212" s="15"/>
      <c r="P212" s="15"/>
      <c r="Q212" s="15"/>
      <c r="R212" s="15"/>
      <c r="S212" s="15"/>
      <c r="T212" s="15"/>
      <c r="U212" s="15"/>
      <c r="V212" s="15"/>
      <c r="W212" s="15"/>
      <c r="X212" s="15"/>
      <c r="Y212" s="15"/>
      <c r="Z212" s="15"/>
    </row>
    <row r="213" spans="1:26" ht="75.75" thickBot="1" x14ac:dyDescent="0.3">
      <c r="A213" s="17" t="s">
        <v>1106</v>
      </c>
      <c r="B213" s="22" t="s">
        <v>1107</v>
      </c>
      <c r="C213" s="22" t="s">
        <v>1108</v>
      </c>
      <c r="D213" s="23">
        <v>2</v>
      </c>
      <c r="E213" s="34" t="s">
        <v>1109</v>
      </c>
      <c r="F213" s="25" cm="1">
        <f t="array" ref="F213">ROUND(SUM(_xlfn.LET(_xlpm.lines,_xlfn.TEXTSPLIT(C213,,CHAR(10)),_xlpm.nm,TRIM(_xlfn.TEXTBEFORE(_xlpm.lines," – ")),_xlpm.rest,_xlfn.TEXTAFTER(_xlpm.lines," – "),_xlpm.amt,VALUE(_xlfn.TEXTBEFORE(_xlpm.rest," ")),_xlpm.unit,TRIM(_xlfn.TEXTAFTER(_xlpm.rest," ")),_xlpm.isml,--(_xlpm.unit="ml"),_xlpm.abv,_xlfn.IFNA(_xlfn.XLOOKUP(_xlpm.nm,'Alcohol by Category'!$A$13:$A$95,'Alcohol by Category'!$E$13:$E$95),_xlfn.IFNA(_xlfn.XLOOKUP(_xlpm.nm,'Alcohol by Category'!$A$99:$A$108,'Alcohol by Category'!$E$99:$E$108),0)),_xlpm.amt*_xlpm.abv*_xlpm.isml)),1)</f>
        <v>24</v>
      </c>
      <c r="G213" s="25" cm="1">
        <f t="array" ref="G213">ROUND(F213/SUM(_xlfn.LET(_xlpm.lines,_xlfn.TEXTSPLIT(C213,,CHAR(10)),_xlpm.rest,_xlfn.TEXTAFTER(_xlpm.lines," – "),_xlpm.amt,VALUE(_xlfn.TEXTBEFORE(_xlpm.rest," ")),_xlpm.unit,TRIM(_xlfn.TEXTAFTER(_xlpm.rest," ")),_xlpm.isml,--(_xlpm.unit="ml"),_xlpm.amt*_xlpm.isml)),3)</f>
        <v>9.6000000000000002E-2</v>
      </c>
      <c r="H213" s="15"/>
      <c r="I213" s="15"/>
      <c r="J213" s="15"/>
      <c r="K213" s="15"/>
      <c r="L213" s="15"/>
      <c r="M213" s="15"/>
      <c r="N213" s="15"/>
      <c r="O213" s="15"/>
      <c r="P213" s="15"/>
      <c r="Q213" s="15"/>
      <c r="R213" s="15"/>
      <c r="S213" s="15"/>
      <c r="T213" s="15"/>
      <c r="U213" s="15"/>
      <c r="V213" s="15"/>
      <c r="W213" s="15"/>
      <c r="X213" s="15"/>
      <c r="Y213" s="15"/>
      <c r="Z213" s="15"/>
    </row>
    <row r="214" spans="1:26" ht="45.75" thickBot="1" x14ac:dyDescent="0.3">
      <c r="A214" s="17" t="s">
        <v>377</v>
      </c>
      <c r="B214" s="22" t="s">
        <v>610</v>
      </c>
      <c r="C214" s="22" t="s">
        <v>378</v>
      </c>
      <c r="D214" s="23">
        <v>1</v>
      </c>
      <c r="E214" s="24" t="s">
        <v>1032</v>
      </c>
      <c r="F214" s="25">
        <v>36</v>
      </c>
      <c r="G214" s="25">
        <v>0.4</v>
      </c>
      <c r="H214" s="15"/>
      <c r="I214" s="15"/>
      <c r="J214" s="15"/>
      <c r="K214" s="15"/>
      <c r="L214" s="15"/>
      <c r="M214" s="15"/>
      <c r="N214" s="15"/>
      <c r="O214" s="15"/>
      <c r="P214" s="15"/>
      <c r="Q214" s="15"/>
      <c r="R214" s="15"/>
      <c r="S214" s="15"/>
      <c r="T214" s="15"/>
      <c r="U214" s="15"/>
      <c r="V214" s="15"/>
      <c r="W214" s="15"/>
      <c r="X214" s="15"/>
      <c r="Y214" s="15"/>
      <c r="Z214" s="15"/>
    </row>
    <row r="215" spans="1:26" ht="75.75" thickBot="1" x14ac:dyDescent="0.3">
      <c r="A215" s="16" t="s">
        <v>379</v>
      </c>
      <c r="B215" s="18" t="s">
        <v>611</v>
      </c>
      <c r="C215" s="18" t="s">
        <v>380</v>
      </c>
      <c r="D215" s="19">
        <v>2</v>
      </c>
      <c r="E215" s="20" t="s">
        <v>1033</v>
      </c>
      <c r="F215" s="21">
        <v>23</v>
      </c>
      <c r="G215" s="21">
        <v>0.184</v>
      </c>
      <c r="H215" s="15"/>
      <c r="I215" s="15"/>
      <c r="J215" s="15"/>
      <c r="K215" s="15"/>
      <c r="L215" s="15"/>
      <c r="M215" s="15"/>
      <c r="N215" s="15"/>
      <c r="O215" s="15"/>
      <c r="P215" s="15"/>
      <c r="Q215" s="15"/>
      <c r="R215" s="15"/>
      <c r="S215" s="15"/>
      <c r="T215" s="15"/>
      <c r="U215" s="15"/>
      <c r="V215" s="15"/>
      <c r="W215" s="15"/>
      <c r="X215" s="15"/>
      <c r="Y215" s="15"/>
      <c r="Z215" s="15"/>
    </row>
    <row r="216" spans="1:26" ht="60.75" thickBot="1" x14ac:dyDescent="0.3">
      <c r="A216" s="16" t="s">
        <v>1111</v>
      </c>
      <c r="B216" s="18" t="s">
        <v>594</v>
      </c>
      <c r="C216" s="18" t="s">
        <v>346</v>
      </c>
      <c r="D216" s="19">
        <v>1</v>
      </c>
      <c r="E216" s="20" t="s">
        <v>1016</v>
      </c>
      <c r="F216" s="21">
        <v>24</v>
      </c>
      <c r="G216" s="21">
        <v>0.16</v>
      </c>
      <c r="H216" s="15"/>
      <c r="I216" s="15"/>
      <c r="J216" s="15"/>
      <c r="K216" s="15"/>
      <c r="L216" s="15"/>
      <c r="M216" s="15"/>
      <c r="N216" s="15"/>
      <c r="O216" s="15"/>
      <c r="P216" s="15"/>
      <c r="Q216" s="15"/>
      <c r="R216" s="15"/>
      <c r="S216" s="15"/>
      <c r="T216" s="15"/>
      <c r="U216" s="15"/>
      <c r="V216" s="15"/>
      <c r="W216" s="15"/>
      <c r="X216" s="15"/>
      <c r="Y216" s="15"/>
      <c r="Z216" s="15"/>
    </row>
    <row r="217" spans="1:26" ht="75.75" thickBot="1" x14ac:dyDescent="0.3">
      <c r="A217" s="17" t="s">
        <v>381</v>
      </c>
      <c r="B217" s="22" t="s">
        <v>612</v>
      </c>
      <c r="C217" s="22" t="s">
        <v>382</v>
      </c>
      <c r="D217" s="23">
        <v>2</v>
      </c>
      <c r="E217" s="24" t="s">
        <v>1034</v>
      </c>
      <c r="F217" s="25">
        <v>36.1</v>
      </c>
      <c r="G217" s="25">
        <v>0.33700000000000002</v>
      </c>
      <c r="H217" s="15"/>
      <c r="I217" s="15"/>
      <c r="J217" s="15"/>
      <c r="K217" s="15"/>
      <c r="L217" s="15"/>
      <c r="M217" s="15"/>
      <c r="N217" s="15"/>
      <c r="O217" s="15"/>
      <c r="P217" s="15"/>
      <c r="Q217" s="15"/>
      <c r="R217" s="15"/>
      <c r="S217" s="15"/>
      <c r="T217" s="15"/>
      <c r="U217" s="15"/>
      <c r="V217" s="15"/>
      <c r="W217" s="15"/>
      <c r="X217" s="15"/>
      <c r="Y217" s="15"/>
      <c r="Z217" s="15"/>
    </row>
    <row r="218" spans="1:26" ht="75.75" thickBot="1" x14ac:dyDescent="0.3">
      <c r="A218" s="16" t="s">
        <v>383</v>
      </c>
      <c r="B218" s="18" t="s">
        <v>613</v>
      </c>
      <c r="C218" s="18" t="s">
        <v>384</v>
      </c>
      <c r="D218" s="19">
        <v>81</v>
      </c>
      <c r="E218" s="20" t="s">
        <v>1035</v>
      </c>
      <c r="F218" s="21">
        <v>18</v>
      </c>
      <c r="G218" s="21">
        <v>0.09</v>
      </c>
      <c r="H218" s="15"/>
      <c r="I218" s="15"/>
      <c r="J218" s="15"/>
      <c r="K218" s="15"/>
      <c r="L218" s="15"/>
      <c r="M218" s="15"/>
      <c r="N218" s="15"/>
      <c r="O218" s="15"/>
      <c r="P218" s="15"/>
      <c r="Q218" s="15"/>
      <c r="R218" s="15"/>
      <c r="S218" s="15"/>
      <c r="T218" s="15"/>
      <c r="U218" s="15"/>
      <c r="V218" s="15"/>
      <c r="W218" s="15"/>
      <c r="X218" s="15"/>
      <c r="Y218" s="15"/>
      <c r="Z218" s="15"/>
    </row>
    <row r="219" spans="1:26" ht="75.75" thickBot="1" x14ac:dyDescent="0.3">
      <c r="A219" s="17" t="s">
        <v>385</v>
      </c>
      <c r="B219" s="22" t="s">
        <v>614</v>
      </c>
      <c r="C219" s="22" t="s">
        <v>386</v>
      </c>
      <c r="D219" s="23">
        <v>1</v>
      </c>
      <c r="E219" s="24" t="s">
        <v>1036</v>
      </c>
      <c r="F219" s="25">
        <v>28.5</v>
      </c>
      <c r="G219" s="25">
        <v>0.22800000000000001</v>
      </c>
      <c r="H219" s="15"/>
      <c r="I219" s="15"/>
      <c r="J219" s="15"/>
      <c r="K219" s="15"/>
      <c r="L219" s="15"/>
      <c r="M219" s="15"/>
      <c r="N219" s="15"/>
      <c r="O219" s="15"/>
      <c r="P219" s="15"/>
      <c r="Q219" s="15"/>
      <c r="R219" s="15"/>
      <c r="S219" s="15"/>
      <c r="T219" s="15"/>
      <c r="U219" s="15"/>
      <c r="V219" s="15"/>
      <c r="W219" s="15"/>
      <c r="X219" s="15"/>
      <c r="Y219" s="15"/>
      <c r="Z219" s="15"/>
    </row>
    <row r="220" spans="1:26" ht="60.75" thickBot="1" x14ac:dyDescent="0.3">
      <c r="A220" s="16" t="s">
        <v>387</v>
      </c>
      <c r="B220" s="18" t="s">
        <v>615</v>
      </c>
      <c r="C220" s="18" t="s">
        <v>388</v>
      </c>
      <c r="D220" s="19">
        <v>1</v>
      </c>
      <c r="E220" s="20" t="s">
        <v>1037</v>
      </c>
      <c r="F220" s="21">
        <v>24</v>
      </c>
      <c r="G220" s="21">
        <v>0.35799999999999998</v>
      </c>
      <c r="H220" s="15"/>
      <c r="I220" s="15"/>
      <c r="J220" s="15"/>
      <c r="K220" s="15"/>
      <c r="L220" s="15"/>
      <c r="M220" s="15"/>
      <c r="N220" s="15"/>
      <c r="O220" s="15"/>
      <c r="P220" s="15"/>
      <c r="Q220" s="15"/>
      <c r="R220" s="15"/>
      <c r="S220" s="15"/>
      <c r="T220" s="15"/>
      <c r="U220" s="15"/>
      <c r="V220" s="15"/>
      <c r="W220" s="15"/>
      <c r="X220" s="15"/>
      <c r="Y220" s="15"/>
      <c r="Z220" s="15"/>
    </row>
    <row r="221" spans="1:26" ht="60.75" thickBot="1" x14ac:dyDescent="0.3">
      <c r="A221" s="17" t="s">
        <v>389</v>
      </c>
      <c r="B221" s="22" t="s">
        <v>616</v>
      </c>
      <c r="C221" s="22" t="s">
        <v>390</v>
      </c>
      <c r="D221" s="23">
        <v>1</v>
      </c>
      <c r="E221" s="24" t="s">
        <v>1038</v>
      </c>
      <c r="F221" s="25">
        <v>18</v>
      </c>
      <c r="G221" s="25">
        <v>9.1999999999999998E-2</v>
      </c>
      <c r="H221" s="15"/>
      <c r="I221" s="15"/>
      <c r="J221" s="15"/>
      <c r="K221" s="15"/>
      <c r="L221" s="15"/>
      <c r="M221" s="15"/>
      <c r="N221" s="15"/>
      <c r="O221" s="15"/>
      <c r="P221" s="15"/>
      <c r="Q221" s="15"/>
      <c r="R221" s="15"/>
      <c r="S221" s="15"/>
      <c r="T221" s="15"/>
      <c r="U221" s="15"/>
      <c r="V221" s="15"/>
      <c r="W221" s="15"/>
      <c r="X221" s="15"/>
      <c r="Y221" s="15"/>
      <c r="Z221" s="15"/>
    </row>
    <row r="222" spans="1:26" ht="90.75" thickBot="1" x14ac:dyDescent="0.3">
      <c r="A222" s="16" t="s">
        <v>391</v>
      </c>
      <c r="B222" s="18" t="s">
        <v>617</v>
      </c>
      <c r="C222" s="18" t="s">
        <v>392</v>
      </c>
      <c r="D222" s="19">
        <v>7</v>
      </c>
      <c r="E222" s="20" t="s">
        <v>1039</v>
      </c>
      <c r="F222" s="21">
        <v>24</v>
      </c>
      <c r="G222" s="21">
        <v>0.26700000000000002</v>
      </c>
      <c r="H222" s="15"/>
      <c r="I222" s="15"/>
      <c r="J222" s="15"/>
      <c r="K222" s="15"/>
      <c r="L222" s="15"/>
      <c r="M222" s="15"/>
      <c r="N222" s="15"/>
      <c r="O222" s="15"/>
      <c r="P222" s="15"/>
      <c r="Q222" s="15"/>
      <c r="R222" s="15"/>
      <c r="S222" s="15"/>
      <c r="T222" s="15"/>
      <c r="U222" s="15"/>
      <c r="V222" s="15"/>
      <c r="W222" s="15"/>
      <c r="X222" s="15"/>
      <c r="Y222" s="15"/>
      <c r="Z222" s="15"/>
    </row>
    <row r="223" spans="1:26" ht="60.75" thickBot="1" x14ac:dyDescent="0.3">
      <c r="A223" s="17" t="s">
        <v>393</v>
      </c>
      <c r="B223" s="22" t="s">
        <v>618</v>
      </c>
      <c r="C223" s="22" t="s">
        <v>394</v>
      </c>
      <c r="D223" s="23">
        <v>1</v>
      </c>
      <c r="E223" s="24" t="s">
        <v>1040</v>
      </c>
      <c r="F223" s="25">
        <v>21.8</v>
      </c>
      <c r="G223" s="25">
        <v>0.24199999999999999</v>
      </c>
      <c r="H223" s="15"/>
      <c r="I223" s="15"/>
      <c r="J223" s="15"/>
      <c r="K223" s="15"/>
      <c r="L223" s="15"/>
      <c r="M223" s="15"/>
      <c r="N223" s="15"/>
      <c r="O223" s="15"/>
      <c r="P223" s="15"/>
      <c r="Q223" s="15"/>
      <c r="R223" s="15"/>
      <c r="S223" s="15"/>
      <c r="T223" s="15"/>
      <c r="U223" s="15"/>
      <c r="V223" s="15"/>
      <c r="W223" s="15"/>
      <c r="X223" s="15"/>
      <c r="Y223" s="15"/>
      <c r="Z223" s="15"/>
    </row>
    <row r="224" spans="1:26" ht="60.75" thickBot="1" x14ac:dyDescent="0.3">
      <c r="A224" s="16" t="s">
        <v>395</v>
      </c>
      <c r="B224" s="18" t="s">
        <v>619</v>
      </c>
      <c r="C224" s="18" t="s">
        <v>396</v>
      </c>
      <c r="D224" s="19">
        <v>2</v>
      </c>
      <c r="E224" s="20" t="s">
        <v>1041</v>
      </c>
      <c r="F224" s="21">
        <v>38.6</v>
      </c>
      <c r="G224" s="21">
        <v>0.36799999999999999</v>
      </c>
      <c r="H224" s="15"/>
      <c r="I224" s="15"/>
      <c r="J224" s="15"/>
      <c r="K224" s="15"/>
      <c r="L224" s="15"/>
      <c r="M224" s="15"/>
      <c r="N224" s="15"/>
      <c r="O224" s="15"/>
      <c r="P224" s="15"/>
      <c r="Q224" s="15"/>
      <c r="R224" s="15"/>
      <c r="S224" s="15"/>
      <c r="T224" s="15"/>
      <c r="U224" s="15"/>
      <c r="V224" s="15"/>
      <c r="W224" s="15"/>
      <c r="X224" s="15"/>
      <c r="Y224" s="15"/>
      <c r="Z224" s="15"/>
    </row>
    <row r="225" spans="1:26" ht="105.75" thickBot="1" x14ac:dyDescent="0.3">
      <c r="A225" s="17" t="s">
        <v>397</v>
      </c>
      <c r="B225" s="22" t="s">
        <v>620</v>
      </c>
      <c r="C225" s="22" t="s">
        <v>398</v>
      </c>
      <c r="D225" s="23">
        <v>2</v>
      </c>
      <c r="E225" s="24" t="s">
        <v>1042</v>
      </c>
      <c r="F225" s="25">
        <v>30.8</v>
      </c>
      <c r="G225" s="25">
        <v>0.32400000000000001</v>
      </c>
      <c r="H225" s="15"/>
      <c r="I225" s="15"/>
      <c r="J225" s="15"/>
      <c r="K225" s="15"/>
      <c r="L225" s="15"/>
      <c r="M225" s="15"/>
      <c r="N225" s="15"/>
      <c r="O225" s="15"/>
      <c r="P225" s="15"/>
      <c r="Q225" s="15"/>
      <c r="R225" s="15"/>
      <c r="S225" s="15"/>
      <c r="T225" s="15"/>
      <c r="U225" s="15"/>
      <c r="V225" s="15"/>
      <c r="W225" s="15"/>
      <c r="X225" s="15"/>
      <c r="Y225" s="15"/>
      <c r="Z225" s="15"/>
    </row>
    <row r="226" spans="1:26" ht="60.75" thickBot="1" x14ac:dyDescent="0.3">
      <c r="A226" s="16" t="s">
        <v>399</v>
      </c>
      <c r="B226" s="18" t="s">
        <v>621</v>
      </c>
      <c r="C226" s="18" t="s">
        <v>400</v>
      </c>
      <c r="D226" s="19">
        <v>2</v>
      </c>
      <c r="E226" s="20" t="s">
        <v>1043</v>
      </c>
      <c r="F226" s="21">
        <v>24</v>
      </c>
      <c r="G226" s="21">
        <v>0.218</v>
      </c>
      <c r="H226" s="15"/>
      <c r="I226" s="15"/>
      <c r="J226" s="15"/>
      <c r="K226" s="15"/>
      <c r="L226" s="15"/>
      <c r="M226" s="15"/>
      <c r="N226" s="15"/>
      <c r="O226" s="15"/>
      <c r="P226" s="15"/>
      <c r="Q226" s="15"/>
      <c r="R226" s="15"/>
      <c r="S226" s="15"/>
      <c r="T226" s="15"/>
      <c r="U226" s="15"/>
      <c r="V226" s="15"/>
      <c r="W226" s="15"/>
      <c r="X226" s="15"/>
      <c r="Y226" s="15"/>
      <c r="Z226" s="15"/>
    </row>
    <row r="227" spans="1:26" ht="45.75" thickBot="1" x14ac:dyDescent="0.3">
      <c r="A227" s="17" t="s">
        <v>401</v>
      </c>
      <c r="B227" s="22" t="s">
        <v>622</v>
      </c>
      <c r="C227" s="22" t="s">
        <v>402</v>
      </c>
      <c r="D227" s="23">
        <v>0</v>
      </c>
      <c r="E227" s="24" t="s">
        <v>1044</v>
      </c>
      <c r="F227" s="25">
        <v>33.6</v>
      </c>
      <c r="G227" s="25">
        <v>0.35399999999999998</v>
      </c>
      <c r="H227" s="15"/>
      <c r="I227" s="15"/>
      <c r="J227" s="15"/>
      <c r="K227" s="15"/>
      <c r="L227" s="15"/>
      <c r="M227" s="15"/>
      <c r="N227" s="15"/>
      <c r="O227" s="15"/>
      <c r="P227" s="15"/>
      <c r="Q227" s="15"/>
      <c r="R227" s="15"/>
      <c r="S227" s="15"/>
      <c r="T227" s="15"/>
      <c r="U227" s="15"/>
      <c r="V227" s="15"/>
      <c r="W227" s="15"/>
      <c r="X227" s="15"/>
      <c r="Y227" s="15"/>
      <c r="Z227" s="15"/>
    </row>
    <row r="228" spans="1:26" ht="75.75" thickBot="1" x14ac:dyDescent="0.3">
      <c r="A228" s="16" t="s">
        <v>403</v>
      </c>
      <c r="B228" s="18" t="s">
        <v>623</v>
      </c>
      <c r="C228" s="18" t="s">
        <v>404</v>
      </c>
      <c r="D228" s="19">
        <v>4</v>
      </c>
      <c r="E228" s="20" t="s">
        <v>1045</v>
      </c>
      <c r="F228" s="21">
        <v>24</v>
      </c>
      <c r="G228" s="21">
        <v>0.214</v>
      </c>
      <c r="H228" s="15"/>
      <c r="I228" s="15"/>
      <c r="J228" s="15"/>
      <c r="K228" s="15"/>
      <c r="L228" s="15"/>
      <c r="M228" s="15"/>
      <c r="N228" s="15"/>
      <c r="O228" s="15"/>
      <c r="P228" s="15"/>
      <c r="Q228" s="15"/>
      <c r="R228" s="15"/>
      <c r="S228" s="15"/>
      <c r="T228" s="15"/>
      <c r="U228" s="15"/>
      <c r="V228" s="15"/>
      <c r="W228" s="15"/>
      <c r="X228" s="15"/>
      <c r="Y228" s="15"/>
      <c r="Z228" s="15"/>
    </row>
    <row r="229" spans="1:26" ht="75.75" thickBot="1" x14ac:dyDescent="0.3">
      <c r="A229" s="17" t="s">
        <v>405</v>
      </c>
      <c r="B229" s="22" t="s">
        <v>624</v>
      </c>
      <c r="C229" s="22" t="s">
        <v>406</v>
      </c>
      <c r="D229" s="23">
        <v>4</v>
      </c>
      <c r="E229" s="24" t="s">
        <v>1046</v>
      </c>
      <c r="F229" s="25">
        <v>18</v>
      </c>
      <c r="G229" s="25">
        <v>0.09</v>
      </c>
      <c r="H229" s="15"/>
      <c r="I229" s="15"/>
      <c r="J229" s="15"/>
      <c r="K229" s="15"/>
      <c r="L229" s="15"/>
      <c r="M229" s="15"/>
      <c r="N229" s="15"/>
      <c r="O229" s="15"/>
      <c r="P229" s="15"/>
      <c r="Q229" s="15"/>
      <c r="R229" s="15"/>
      <c r="S229" s="15"/>
      <c r="T229" s="15"/>
      <c r="U229" s="15"/>
      <c r="V229" s="15"/>
      <c r="W229" s="15"/>
      <c r="X229" s="15"/>
      <c r="Y229" s="15"/>
      <c r="Z229" s="15"/>
    </row>
    <row r="230" spans="1:26" ht="60.75" thickBot="1" x14ac:dyDescent="0.3">
      <c r="A230" s="16" t="s">
        <v>407</v>
      </c>
      <c r="B230" s="18" t="s">
        <v>625</v>
      </c>
      <c r="C230" s="18" t="s">
        <v>408</v>
      </c>
      <c r="D230" s="19">
        <v>23</v>
      </c>
      <c r="E230" s="20" t="s">
        <v>1047</v>
      </c>
      <c r="F230" s="21">
        <v>24</v>
      </c>
      <c r="G230" s="21">
        <v>0.253</v>
      </c>
      <c r="H230" s="15"/>
      <c r="I230" s="15"/>
      <c r="J230" s="15"/>
      <c r="K230" s="15"/>
      <c r="L230" s="15"/>
      <c r="M230" s="15"/>
      <c r="N230" s="15"/>
      <c r="O230" s="15"/>
      <c r="P230" s="15"/>
      <c r="Q230" s="15"/>
      <c r="R230" s="15"/>
      <c r="S230" s="15"/>
      <c r="T230" s="15"/>
      <c r="U230" s="15"/>
      <c r="V230" s="15"/>
      <c r="W230" s="15"/>
      <c r="X230" s="15"/>
      <c r="Y230" s="15"/>
      <c r="Z230" s="15"/>
    </row>
    <row r="231" spans="1:26" ht="75.75" thickBot="1" x14ac:dyDescent="0.3">
      <c r="A231" s="17" t="s">
        <v>409</v>
      </c>
      <c r="B231" s="22" t="s">
        <v>626</v>
      </c>
      <c r="C231" s="22" t="s">
        <v>410</v>
      </c>
      <c r="D231" s="23">
        <v>22</v>
      </c>
      <c r="E231" s="24" t="s">
        <v>1048</v>
      </c>
      <c r="F231" s="25">
        <v>24</v>
      </c>
      <c r="G231" s="25">
        <v>0.24</v>
      </c>
      <c r="H231" s="15"/>
      <c r="I231" s="15"/>
      <c r="J231" s="15"/>
      <c r="K231" s="15"/>
      <c r="L231" s="15"/>
      <c r="M231" s="15"/>
      <c r="N231" s="15"/>
      <c r="O231" s="15"/>
      <c r="P231" s="15"/>
      <c r="Q231" s="15"/>
      <c r="R231" s="15"/>
      <c r="S231" s="15"/>
      <c r="T231" s="15"/>
      <c r="U231" s="15"/>
      <c r="V231" s="15"/>
      <c r="W231" s="15"/>
      <c r="X231" s="15"/>
      <c r="Y231" s="15"/>
      <c r="Z231" s="15"/>
    </row>
    <row r="232" spans="1:26" ht="60.75" thickBot="1" x14ac:dyDescent="0.3">
      <c r="A232" s="16" t="s">
        <v>413</v>
      </c>
      <c r="B232" s="18" t="s">
        <v>627</v>
      </c>
      <c r="C232" s="18" t="s">
        <v>414</v>
      </c>
      <c r="D232" s="19">
        <v>6</v>
      </c>
      <c r="E232" s="20" t="s">
        <v>1049</v>
      </c>
      <c r="F232" s="21">
        <v>21.6</v>
      </c>
      <c r="G232" s="21">
        <v>0.24</v>
      </c>
      <c r="H232" s="15"/>
      <c r="I232" s="15"/>
      <c r="J232" s="15"/>
      <c r="K232" s="15"/>
      <c r="L232" s="15"/>
      <c r="M232" s="15"/>
      <c r="N232" s="15"/>
      <c r="O232" s="15"/>
      <c r="P232" s="15"/>
      <c r="Q232" s="15"/>
      <c r="R232" s="15"/>
      <c r="S232" s="15"/>
      <c r="T232" s="15"/>
      <c r="U232" s="15"/>
      <c r="V232" s="15"/>
      <c r="W232" s="15"/>
      <c r="X232" s="15"/>
      <c r="Y232" s="15"/>
      <c r="Z232" s="15"/>
    </row>
    <row r="233" spans="1:26" ht="45.75" thickBot="1" x14ac:dyDescent="0.3">
      <c r="A233" s="17" t="s">
        <v>411</v>
      </c>
      <c r="B233" s="22" t="s">
        <v>628</v>
      </c>
      <c r="C233" s="22" t="s">
        <v>412</v>
      </c>
      <c r="D233" s="23">
        <v>2</v>
      </c>
      <c r="E233" s="24" t="s">
        <v>1050</v>
      </c>
      <c r="F233" s="25">
        <v>21.9</v>
      </c>
      <c r="G233" s="25">
        <v>0.24299999999999999</v>
      </c>
      <c r="H233" s="15"/>
      <c r="I233" s="15"/>
      <c r="J233" s="15"/>
      <c r="K233" s="15"/>
      <c r="L233" s="15"/>
      <c r="M233" s="15"/>
      <c r="N233" s="15"/>
      <c r="O233" s="15"/>
      <c r="P233" s="15"/>
      <c r="Q233" s="15"/>
      <c r="R233" s="15"/>
      <c r="S233" s="15"/>
      <c r="T233" s="15"/>
      <c r="U233" s="15"/>
      <c r="V233" s="15"/>
      <c r="W233" s="15"/>
      <c r="X233" s="15"/>
      <c r="Y233" s="15"/>
      <c r="Z233" s="15"/>
    </row>
    <row r="234" spans="1:26" ht="45.75" thickBot="1" x14ac:dyDescent="0.3">
      <c r="A234" s="16" t="s">
        <v>415</v>
      </c>
      <c r="B234" s="18" t="s">
        <v>629</v>
      </c>
      <c r="C234" s="18" t="s">
        <v>122</v>
      </c>
      <c r="D234" s="19">
        <v>14</v>
      </c>
      <c r="E234" s="20" t="s">
        <v>1051</v>
      </c>
      <c r="F234" s="21">
        <v>18</v>
      </c>
      <c r="G234" s="21">
        <v>0.2</v>
      </c>
      <c r="H234" s="15"/>
      <c r="I234" s="15"/>
      <c r="J234" s="15"/>
      <c r="K234" s="15"/>
      <c r="L234" s="15"/>
      <c r="M234" s="15"/>
      <c r="N234" s="15"/>
      <c r="O234" s="15"/>
      <c r="P234" s="15"/>
      <c r="Q234" s="15"/>
      <c r="R234" s="15"/>
      <c r="S234" s="15"/>
      <c r="T234" s="15"/>
      <c r="U234" s="15"/>
      <c r="V234" s="15"/>
      <c r="W234" s="15"/>
      <c r="X234" s="15"/>
      <c r="Y234" s="15"/>
      <c r="Z234" s="15"/>
    </row>
    <row r="235" spans="1:26" ht="75.75" thickBot="1" x14ac:dyDescent="0.3">
      <c r="A235" s="17" t="s">
        <v>416</v>
      </c>
      <c r="B235" s="22" t="s">
        <v>630</v>
      </c>
      <c r="C235" s="22" t="s">
        <v>417</v>
      </c>
      <c r="D235" s="23">
        <v>2</v>
      </c>
      <c r="E235" s="24" t="s">
        <v>1052</v>
      </c>
      <c r="F235" s="25">
        <v>22.8</v>
      </c>
      <c r="G235" s="25">
        <v>0.26800000000000002</v>
      </c>
      <c r="H235" s="15"/>
      <c r="I235" s="15"/>
      <c r="J235" s="15"/>
      <c r="K235" s="15"/>
      <c r="L235" s="15"/>
      <c r="M235" s="15"/>
      <c r="N235" s="15"/>
      <c r="O235" s="15"/>
      <c r="P235" s="15"/>
      <c r="Q235" s="15"/>
      <c r="R235" s="15"/>
      <c r="S235" s="15"/>
      <c r="T235" s="15"/>
      <c r="U235" s="15"/>
      <c r="V235" s="15"/>
      <c r="W235" s="15"/>
      <c r="X235" s="15"/>
      <c r="Y235" s="15"/>
      <c r="Z235" s="15"/>
    </row>
    <row r="236" spans="1:26" ht="75.75" thickBot="1" x14ac:dyDescent="0.3">
      <c r="A236" s="31" t="s">
        <v>418</v>
      </c>
      <c r="B236" s="32" t="s">
        <v>631</v>
      </c>
      <c r="C236" s="32" t="s">
        <v>419</v>
      </c>
      <c r="D236" s="33">
        <v>2</v>
      </c>
      <c r="E236" s="32" t="s">
        <v>1053</v>
      </c>
      <c r="F236" s="21">
        <v>28.9</v>
      </c>
      <c r="G236" s="21">
        <v>0.32100000000000001</v>
      </c>
      <c r="H236" s="15"/>
      <c r="I236" s="15"/>
      <c r="J236" s="15"/>
      <c r="K236" s="15"/>
      <c r="L236" s="15"/>
      <c r="M236" s="15"/>
      <c r="N236" s="15"/>
      <c r="O236" s="15"/>
      <c r="P236" s="15"/>
      <c r="Q236" s="15"/>
      <c r="R236" s="15"/>
      <c r="S236" s="15"/>
      <c r="T236" s="15"/>
      <c r="U236" s="15"/>
      <c r="V236" s="15"/>
      <c r="W236" s="15"/>
      <c r="X236" s="15"/>
      <c r="Y236" s="15"/>
      <c r="Z236" s="15"/>
    </row>
    <row r="237" spans="1:26" ht="15.75" thickBot="1"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75" thickBot="1"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75" thickBot="1"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75" thickBot="1"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75" thickBot="1"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75" thickBot="1"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75" thickBot="1"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75" thickBot="1"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75" thickBot="1"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75" thickBot="1"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75" thickBot="1"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75" thickBot="1"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75" thickBot="1"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75" thickBot="1"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75" thickBot="1"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75" thickBot="1"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75" thickBot="1"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75" thickBot="1"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75" thickBot="1"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75" thickBot="1"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75" thickBot="1" x14ac:dyDescent="0.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75" thickBot="1" x14ac:dyDescent="0.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75" thickBot="1" x14ac:dyDescent="0.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75" thickBot="1" x14ac:dyDescent="0.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75" thickBot="1" x14ac:dyDescent="0.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75" thickBot="1" x14ac:dyDescent="0.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75" thickBot="1" x14ac:dyDescent="0.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75" thickBot="1" x14ac:dyDescent="0.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75" thickBot="1" x14ac:dyDescent="0.3">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75" thickBot="1" x14ac:dyDescent="0.3">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75" thickBot="1" x14ac:dyDescent="0.3">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75" thickBot="1" x14ac:dyDescent="0.3">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75" thickBot="1" x14ac:dyDescent="0.3">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75" thickBot="1" x14ac:dyDescent="0.3">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75" thickBot="1" x14ac:dyDescent="0.3">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75" thickBot="1" x14ac:dyDescent="0.3">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75" thickBot="1" x14ac:dyDescent="0.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75" thickBot="1" x14ac:dyDescent="0.3">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75" thickBot="1" x14ac:dyDescent="0.3">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75" thickBot="1" x14ac:dyDescent="0.3">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75" thickBot="1" x14ac:dyDescent="0.3">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75" thickBot="1" x14ac:dyDescent="0.3">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75" thickBot="1" x14ac:dyDescent="0.3">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75" thickBot="1" x14ac:dyDescent="0.3">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75" thickBot="1" x14ac:dyDescent="0.3">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75" thickBot="1" x14ac:dyDescent="0.3">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75" thickBot="1" x14ac:dyDescent="0.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75" thickBot="1" x14ac:dyDescent="0.3">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75" thickBot="1" x14ac:dyDescent="0.3">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75" thickBot="1" x14ac:dyDescent="0.3">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75" thickBot="1" x14ac:dyDescent="0.3">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75" thickBot="1" x14ac:dyDescent="0.3">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75" thickBot="1" x14ac:dyDescent="0.3">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75" thickBot="1" x14ac:dyDescent="0.3">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75" thickBot="1" x14ac:dyDescent="0.3">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75" thickBot="1" x14ac:dyDescent="0.3">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75" thickBot="1" x14ac:dyDescent="0.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75" thickBot="1" x14ac:dyDescent="0.3">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75" thickBot="1" x14ac:dyDescent="0.3">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75" thickBot="1" x14ac:dyDescent="0.3">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75" thickBot="1" x14ac:dyDescent="0.3">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75" thickBot="1" x14ac:dyDescent="0.3">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75" thickBot="1" x14ac:dyDescent="0.3">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75" thickBot="1" x14ac:dyDescent="0.3">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75" thickBot="1" x14ac:dyDescent="0.3">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75" thickBot="1" x14ac:dyDescent="0.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75" thickBot="1" x14ac:dyDescent="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75" thickBot="1" x14ac:dyDescent="0.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75" thickBot="1" x14ac:dyDescent="0.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75" thickBot="1" x14ac:dyDescent="0.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75" thickBot="1" x14ac:dyDescent="0.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75" thickBot="1" x14ac:dyDescent="0.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75" thickBot="1" x14ac:dyDescent="0.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75" thickBot="1" x14ac:dyDescent="0.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75" thickBot="1" x14ac:dyDescent="0.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75" thickBot="1" x14ac:dyDescent="0.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75" thickBot="1" x14ac:dyDescent="0.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75" thickBot="1" x14ac:dyDescent="0.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75" thickBot="1" x14ac:dyDescent="0.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75" thickBot="1" x14ac:dyDescent="0.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75" thickBot="1" x14ac:dyDescent="0.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75" thickBot="1" x14ac:dyDescent="0.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75" thickBot="1" x14ac:dyDescent="0.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75" thickBot="1" x14ac:dyDescent="0.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75" thickBot="1" x14ac:dyDescent="0.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75" thickBot="1" x14ac:dyDescent="0.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75" thickBot="1" x14ac:dyDescent="0.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75" thickBot="1" x14ac:dyDescent="0.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75" thickBot="1" x14ac:dyDescent="0.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75" thickBot="1" x14ac:dyDescent="0.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75" thickBot="1" x14ac:dyDescent="0.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75" thickBot="1" x14ac:dyDescent="0.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75" thickBot="1" x14ac:dyDescent="0.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75" thickBot="1" x14ac:dyDescent="0.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75" thickBot="1" x14ac:dyDescent="0.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75" thickBot="1" x14ac:dyDescent="0.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75" thickBot="1" x14ac:dyDescent="0.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75" thickBot="1" x14ac:dyDescent="0.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75" thickBot="1" x14ac:dyDescent="0.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75" thickBot="1" x14ac:dyDescent="0.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75" thickBot="1" x14ac:dyDescent="0.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75" thickBot="1" x14ac:dyDescent="0.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75" thickBot="1" x14ac:dyDescent="0.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75" thickBot="1" x14ac:dyDescent="0.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75" thickBot="1" x14ac:dyDescent="0.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75" thickBot="1" x14ac:dyDescent="0.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75" thickBot="1" x14ac:dyDescent="0.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75" thickBot="1" x14ac:dyDescent="0.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75" thickBot="1" x14ac:dyDescent="0.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75" thickBot="1" x14ac:dyDescent="0.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75" thickBot="1" x14ac:dyDescent="0.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75" thickBot="1" x14ac:dyDescent="0.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75" thickBot="1" x14ac:dyDescent="0.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75" thickBot="1" x14ac:dyDescent="0.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75" thickBot="1" x14ac:dyDescent="0.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75" thickBot="1" x14ac:dyDescent="0.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75" thickBot="1" x14ac:dyDescent="0.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75" thickBot="1" x14ac:dyDescent="0.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75" thickBot="1" x14ac:dyDescent="0.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75" thickBot="1" x14ac:dyDescent="0.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75" thickBot="1" x14ac:dyDescent="0.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75" thickBot="1" x14ac:dyDescent="0.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75" thickBot="1" x14ac:dyDescent="0.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75" thickBot="1" x14ac:dyDescent="0.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75" thickBot="1" x14ac:dyDescent="0.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75" thickBot="1" x14ac:dyDescent="0.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75" thickBot="1" x14ac:dyDescent="0.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75" thickBot="1" x14ac:dyDescent="0.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75" thickBot="1" x14ac:dyDescent="0.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75" thickBot="1" x14ac:dyDescent="0.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75" thickBot="1" x14ac:dyDescent="0.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75" thickBot="1" x14ac:dyDescent="0.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75" thickBot="1" x14ac:dyDescent="0.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75" thickBot="1" x14ac:dyDescent="0.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75" thickBot="1" x14ac:dyDescent="0.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75" thickBot="1" x14ac:dyDescent="0.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75" thickBot="1" x14ac:dyDescent="0.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75" thickBot="1" x14ac:dyDescent="0.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75" thickBot="1" x14ac:dyDescent="0.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75" thickBot="1" x14ac:dyDescent="0.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75" thickBot="1" x14ac:dyDescent="0.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75" thickBot="1" x14ac:dyDescent="0.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75" thickBot="1" x14ac:dyDescent="0.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75" thickBot="1" x14ac:dyDescent="0.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75" thickBot="1" x14ac:dyDescent="0.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75" thickBot="1" x14ac:dyDescent="0.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75" thickBot="1" x14ac:dyDescent="0.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75" thickBot="1" x14ac:dyDescent="0.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75" thickBot="1" x14ac:dyDescent="0.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75" thickBot="1" x14ac:dyDescent="0.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75" thickBot="1" x14ac:dyDescent="0.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75" thickBot="1" x14ac:dyDescent="0.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75" thickBot="1" x14ac:dyDescent="0.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75" thickBot="1" x14ac:dyDescent="0.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75" thickBot="1" x14ac:dyDescent="0.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75" thickBot="1" x14ac:dyDescent="0.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75" thickBot="1" x14ac:dyDescent="0.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75" thickBot="1" x14ac:dyDescent="0.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75" thickBot="1" x14ac:dyDescent="0.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75" thickBot="1" x14ac:dyDescent="0.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75" thickBot="1" x14ac:dyDescent="0.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75" thickBot="1" x14ac:dyDescent="0.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75" thickBot="1" x14ac:dyDescent="0.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75" thickBot="1" x14ac:dyDescent="0.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75" thickBot="1" x14ac:dyDescent="0.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75" thickBot="1" x14ac:dyDescent="0.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75" thickBot="1" x14ac:dyDescent="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75" thickBot="1" x14ac:dyDescent="0.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75" thickBot="1" x14ac:dyDescent="0.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75" thickBot="1" x14ac:dyDescent="0.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75" thickBot="1" x14ac:dyDescent="0.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75" thickBot="1" x14ac:dyDescent="0.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75" thickBot="1" x14ac:dyDescent="0.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75" thickBot="1" x14ac:dyDescent="0.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75" thickBot="1" x14ac:dyDescent="0.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75" thickBot="1" x14ac:dyDescent="0.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75" thickBot="1" x14ac:dyDescent="0.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75" thickBot="1" x14ac:dyDescent="0.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75" thickBot="1" x14ac:dyDescent="0.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75" thickBot="1" x14ac:dyDescent="0.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75" thickBot="1" x14ac:dyDescent="0.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75" thickBot="1" x14ac:dyDescent="0.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75" thickBot="1" x14ac:dyDescent="0.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75" thickBot="1" x14ac:dyDescent="0.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75" thickBot="1" x14ac:dyDescent="0.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75" thickBot="1" x14ac:dyDescent="0.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75" thickBot="1" x14ac:dyDescent="0.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75" thickBot="1" x14ac:dyDescent="0.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75" thickBot="1" x14ac:dyDescent="0.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75" thickBot="1" x14ac:dyDescent="0.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75" thickBot="1" x14ac:dyDescent="0.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75" thickBot="1" x14ac:dyDescent="0.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75" thickBot="1" x14ac:dyDescent="0.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75" thickBot="1" x14ac:dyDescent="0.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75" thickBot="1" x14ac:dyDescent="0.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75" thickBot="1" x14ac:dyDescent="0.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75" thickBot="1" x14ac:dyDescent="0.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75" thickBot="1" x14ac:dyDescent="0.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75" thickBot="1" x14ac:dyDescent="0.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75" thickBot="1" x14ac:dyDescent="0.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75" thickBot="1" x14ac:dyDescent="0.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75" thickBot="1" x14ac:dyDescent="0.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75" thickBot="1" x14ac:dyDescent="0.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75" thickBot="1" x14ac:dyDescent="0.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75" thickBot="1" x14ac:dyDescent="0.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75" thickBot="1" x14ac:dyDescent="0.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75" thickBot="1" x14ac:dyDescent="0.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75" thickBot="1" x14ac:dyDescent="0.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75" thickBot="1" x14ac:dyDescent="0.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75" thickBot="1" x14ac:dyDescent="0.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75" thickBot="1" x14ac:dyDescent="0.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75" thickBot="1" x14ac:dyDescent="0.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75" thickBot="1" x14ac:dyDescent="0.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75" thickBot="1" x14ac:dyDescent="0.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75" thickBot="1" x14ac:dyDescent="0.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75" thickBot="1" x14ac:dyDescent="0.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75" thickBot="1" x14ac:dyDescent="0.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75" thickBot="1" x14ac:dyDescent="0.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75" thickBot="1" x14ac:dyDescent="0.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75" thickBot="1" x14ac:dyDescent="0.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75" thickBot="1" x14ac:dyDescent="0.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75" thickBot="1" x14ac:dyDescent="0.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75" thickBot="1" x14ac:dyDescent="0.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75" thickBot="1" x14ac:dyDescent="0.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75" thickBot="1" x14ac:dyDescent="0.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75" thickBot="1" x14ac:dyDescent="0.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75" thickBot="1" x14ac:dyDescent="0.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75" thickBot="1" x14ac:dyDescent="0.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75" thickBot="1" x14ac:dyDescent="0.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75" thickBot="1" x14ac:dyDescent="0.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75" thickBot="1" x14ac:dyDescent="0.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75" thickBot="1" x14ac:dyDescent="0.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75" thickBot="1" x14ac:dyDescent="0.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75" thickBot="1" x14ac:dyDescent="0.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75" thickBot="1" x14ac:dyDescent="0.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75" thickBot="1" x14ac:dyDescent="0.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75" thickBot="1" x14ac:dyDescent="0.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75" thickBot="1" x14ac:dyDescent="0.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75" thickBot="1" x14ac:dyDescent="0.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75" thickBot="1" x14ac:dyDescent="0.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75" thickBot="1" x14ac:dyDescent="0.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75" thickBot="1" x14ac:dyDescent="0.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75" thickBot="1" x14ac:dyDescent="0.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75" thickBot="1" x14ac:dyDescent="0.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75" thickBot="1" x14ac:dyDescent="0.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75" thickBot="1" x14ac:dyDescent="0.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75" thickBot="1" x14ac:dyDescent="0.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75" thickBot="1" x14ac:dyDescent="0.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75" thickBot="1" x14ac:dyDescent="0.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75" thickBot="1" x14ac:dyDescent="0.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75" thickBot="1" x14ac:dyDescent="0.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75" thickBot="1" x14ac:dyDescent="0.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75" thickBot="1" x14ac:dyDescent="0.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75" thickBot="1" x14ac:dyDescent="0.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75" thickBot="1" x14ac:dyDescent="0.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75" thickBot="1" x14ac:dyDescent="0.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75" thickBot="1" x14ac:dyDescent="0.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75" thickBot="1" x14ac:dyDescent="0.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75" thickBot="1" x14ac:dyDescent="0.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75" thickBot="1" x14ac:dyDescent="0.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75" thickBot="1" x14ac:dyDescent="0.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75" thickBot="1" x14ac:dyDescent="0.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75" thickBot="1" x14ac:dyDescent="0.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75" thickBot="1" x14ac:dyDescent="0.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75" thickBot="1" x14ac:dyDescent="0.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75" thickBot="1" x14ac:dyDescent="0.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75" thickBot="1" x14ac:dyDescent="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75" thickBot="1" x14ac:dyDescent="0.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75" thickBot="1" x14ac:dyDescent="0.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75" thickBot="1" x14ac:dyDescent="0.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75" thickBot="1" x14ac:dyDescent="0.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75" thickBot="1" x14ac:dyDescent="0.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75" thickBot="1" x14ac:dyDescent="0.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75" thickBot="1" x14ac:dyDescent="0.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75" thickBot="1" x14ac:dyDescent="0.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75" thickBot="1" x14ac:dyDescent="0.3">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75" thickBot="1" x14ac:dyDescent="0.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75" thickBot="1" x14ac:dyDescent="0.3">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75" thickBot="1" x14ac:dyDescent="0.3">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75" thickBot="1" x14ac:dyDescent="0.3">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75" thickBot="1" x14ac:dyDescent="0.3">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75" thickBot="1" x14ac:dyDescent="0.3">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75" thickBot="1" x14ac:dyDescent="0.3">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75" thickBot="1" x14ac:dyDescent="0.3">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75" thickBot="1" x14ac:dyDescent="0.3">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75" thickBot="1" x14ac:dyDescent="0.3">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75" thickBot="1" x14ac:dyDescent="0.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75" thickBot="1" x14ac:dyDescent="0.3">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75" thickBot="1" x14ac:dyDescent="0.3">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75" thickBot="1" x14ac:dyDescent="0.3">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75" thickBot="1" x14ac:dyDescent="0.3">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75" thickBot="1" x14ac:dyDescent="0.3">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75" thickBot="1" x14ac:dyDescent="0.3">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75" thickBot="1" x14ac:dyDescent="0.3">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75" thickBot="1" x14ac:dyDescent="0.3">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75" thickBot="1" x14ac:dyDescent="0.3">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75" thickBot="1" x14ac:dyDescent="0.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75" thickBot="1" x14ac:dyDescent="0.3">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75" thickBot="1" x14ac:dyDescent="0.3">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75" thickBot="1" x14ac:dyDescent="0.3">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75" thickBot="1" x14ac:dyDescent="0.3">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75" thickBot="1" x14ac:dyDescent="0.3">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75" thickBot="1" x14ac:dyDescent="0.3">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75" thickBot="1" x14ac:dyDescent="0.3">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75" thickBot="1" x14ac:dyDescent="0.3">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75" thickBot="1" x14ac:dyDescent="0.3">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75" thickBot="1" x14ac:dyDescent="0.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75" thickBot="1" x14ac:dyDescent="0.3">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75" thickBot="1" x14ac:dyDescent="0.3">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75" thickBot="1" x14ac:dyDescent="0.3">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75" thickBot="1" x14ac:dyDescent="0.3">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75" thickBot="1" x14ac:dyDescent="0.3">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75" thickBot="1" x14ac:dyDescent="0.3">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75" thickBot="1" x14ac:dyDescent="0.3">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75" thickBot="1" x14ac:dyDescent="0.3">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75" thickBot="1" x14ac:dyDescent="0.3">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75" thickBot="1" x14ac:dyDescent="0.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75" thickBot="1" x14ac:dyDescent="0.3">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75" thickBot="1" x14ac:dyDescent="0.3">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75" thickBot="1" x14ac:dyDescent="0.3">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75" thickBot="1" x14ac:dyDescent="0.3">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75" thickBot="1" x14ac:dyDescent="0.3">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75" thickBot="1" x14ac:dyDescent="0.3">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75" thickBot="1" x14ac:dyDescent="0.3">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75" thickBot="1" x14ac:dyDescent="0.3">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75" thickBot="1" x14ac:dyDescent="0.3">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75" thickBot="1" x14ac:dyDescent="0.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75" thickBot="1" x14ac:dyDescent="0.3">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75" thickBot="1" x14ac:dyDescent="0.3">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75" thickBot="1" x14ac:dyDescent="0.3">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75" thickBot="1" x14ac:dyDescent="0.3">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75" thickBot="1" x14ac:dyDescent="0.3">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75" thickBot="1" x14ac:dyDescent="0.3">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75" thickBot="1" x14ac:dyDescent="0.3">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75" thickBot="1" x14ac:dyDescent="0.3">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75" thickBot="1" x14ac:dyDescent="0.3">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75" thickBot="1" x14ac:dyDescent="0.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75" thickBot="1" x14ac:dyDescent="0.3">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75" thickBot="1" x14ac:dyDescent="0.3">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75" thickBot="1" x14ac:dyDescent="0.3">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75" thickBot="1" x14ac:dyDescent="0.3">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75" thickBot="1" x14ac:dyDescent="0.3">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75" thickBot="1" x14ac:dyDescent="0.3">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75" thickBot="1" x14ac:dyDescent="0.3">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75" thickBot="1" x14ac:dyDescent="0.3">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75" thickBot="1" x14ac:dyDescent="0.3">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75" thickBot="1" x14ac:dyDescent="0.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75" thickBot="1" x14ac:dyDescent="0.3">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75" thickBot="1" x14ac:dyDescent="0.3">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75" thickBot="1" x14ac:dyDescent="0.3">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75" thickBot="1" x14ac:dyDescent="0.3">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75" thickBot="1" x14ac:dyDescent="0.3">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75" thickBot="1" x14ac:dyDescent="0.3">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75" thickBot="1" x14ac:dyDescent="0.3">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75" thickBot="1" x14ac:dyDescent="0.3">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75" thickBot="1" x14ac:dyDescent="0.3">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75" thickBot="1" x14ac:dyDescent="0.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75" thickBot="1" x14ac:dyDescent="0.3">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75" thickBot="1" x14ac:dyDescent="0.3">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75" thickBot="1" x14ac:dyDescent="0.3">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75" thickBot="1" x14ac:dyDescent="0.3">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75" thickBot="1" x14ac:dyDescent="0.3">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75" thickBot="1" x14ac:dyDescent="0.3">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75" thickBot="1" x14ac:dyDescent="0.3">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75" thickBot="1" x14ac:dyDescent="0.3">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75" thickBot="1" x14ac:dyDescent="0.3">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75" thickBot="1" x14ac:dyDescent="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75" thickBot="1" x14ac:dyDescent="0.3">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75" thickBot="1" x14ac:dyDescent="0.3">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75" thickBot="1" x14ac:dyDescent="0.3">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75" thickBot="1" x14ac:dyDescent="0.3">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75" thickBot="1" x14ac:dyDescent="0.3">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75" thickBot="1" x14ac:dyDescent="0.3">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75" thickBot="1" x14ac:dyDescent="0.3">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75" thickBot="1" x14ac:dyDescent="0.3">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75" thickBot="1" x14ac:dyDescent="0.3">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75" thickBot="1" x14ac:dyDescent="0.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75" thickBot="1" x14ac:dyDescent="0.3">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75" thickBot="1" x14ac:dyDescent="0.3">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75" thickBot="1" x14ac:dyDescent="0.3">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75" thickBot="1" x14ac:dyDescent="0.3">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75" thickBot="1" x14ac:dyDescent="0.3">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75" thickBot="1" x14ac:dyDescent="0.3">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75" thickBot="1" x14ac:dyDescent="0.3">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75" thickBot="1" x14ac:dyDescent="0.3">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75" thickBot="1" x14ac:dyDescent="0.3">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75" thickBot="1" x14ac:dyDescent="0.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75" thickBot="1" x14ac:dyDescent="0.3">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75" thickBot="1" x14ac:dyDescent="0.3">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75" thickBot="1" x14ac:dyDescent="0.3">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75" thickBot="1" x14ac:dyDescent="0.3">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75" thickBot="1" x14ac:dyDescent="0.3">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75" thickBot="1" x14ac:dyDescent="0.3">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75" thickBot="1" x14ac:dyDescent="0.3">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75" thickBot="1" x14ac:dyDescent="0.3">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75" thickBot="1" x14ac:dyDescent="0.3">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75" thickBot="1" x14ac:dyDescent="0.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75" thickBot="1" x14ac:dyDescent="0.3">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75" thickBot="1" x14ac:dyDescent="0.3">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75" thickBot="1" x14ac:dyDescent="0.3">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75" thickBot="1" x14ac:dyDescent="0.3">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75" thickBot="1" x14ac:dyDescent="0.3">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75" thickBot="1" x14ac:dyDescent="0.3">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75" thickBot="1" x14ac:dyDescent="0.3">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75" thickBot="1" x14ac:dyDescent="0.3">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75" thickBot="1" x14ac:dyDescent="0.3">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75" thickBot="1" x14ac:dyDescent="0.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75" thickBot="1" x14ac:dyDescent="0.3">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75" thickBot="1" x14ac:dyDescent="0.3">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75" thickBot="1" x14ac:dyDescent="0.3">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75" thickBot="1" x14ac:dyDescent="0.3">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75" thickBot="1" x14ac:dyDescent="0.3">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75" thickBot="1" x14ac:dyDescent="0.3">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75" thickBot="1" x14ac:dyDescent="0.3">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75" thickBot="1" x14ac:dyDescent="0.3">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75" thickBot="1" x14ac:dyDescent="0.3">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75" thickBot="1" x14ac:dyDescent="0.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75" thickBot="1" x14ac:dyDescent="0.3">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75" thickBot="1" x14ac:dyDescent="0.3">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75" thickBot="1" x14ac:dyDescent="0.3">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75" thickBot="1" x14ac:dyDescent="0.3">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75" thickBot="1" x14ac:dyDescent="0.3">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75" thickBot="1" x14ac:dyDescent="0.3">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75" thickBot="1" x14ac:dyDescent="0.3">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75" thickBot="1" x14ac:dyDescent="0.3">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75" thickBot="1" x14ac:dyDescent="0.3">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75" thickBot="1" x14ac:dyDescent="0.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75" thickBot="1" x14ac:dyDescent="0.3">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75" thickBot="1" x14ac:dyDescent="0.3">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75" thickBot="1" x14ac:dyDescent="0.3">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75" thickBot="1" x14ac:dyDescent="0.3">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75" thickBot="1" x14ac:dyDescent="0.3">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75" thickBot="1" x14ac:dyDescent="0.3">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75" thickBot="1" x14ac:dyDescent="0.3">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75" thickBot="1" x14ac:dyDescent="0.3">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75" thickBot="1" x14ac:dyDescent="0.3">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75" thickBot="1" x14ac:dyDescent="0.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75" thickBot="1" x14ac:dyDescent="0.3">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75" thickBot="1" x14ac:dyDescent="0.3">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75" thickBot="1" x14ac:dyDescent="0.3">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75" thickBot="1" x14ac:dyDescent="0.3">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75" thickBot="1" x14ac:dyDescent="0.3">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75" thickBot="1" x14ac:dyDescent="0.3">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75" thickBot="1" x14ac:dyDescent="0.3">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75" thickBot="1" x14ac:dyDescent="0.3">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75" thickBot="1" x14ac:dyDescent="0.3">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75" thickBot="1" x14ac:dyDescent="0.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75" thickBot="1" x14ac:dyDescent="0.3">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75" thickBot="1" x14ac:dyDescent="0.3">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75" thickBot="1" x14ac:dyDescent="0.3">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75" thickBot="1" x14ac:dyDescent="0.3">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75" thickBot="1" x14ac:dyDescent="0.3">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75" thickBot="1" x14ac:dyDescent="0.3">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75" thickBot="1" x14ac:dyDescent="0.3">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75" thickBot="1" x14ac:dyDescent="0.3">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75" thickBot="1" x14ac:dyDescent="0.3">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75" thickBot="1" x14ac:dyDescent="0.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75" thickBot="1" x14ac:dyDescent="0.3">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75" thickBot="1" x14ac:dyDescent="0.3">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75" thickBot="1" x14ac:dyDescent="0.3">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75" thickBot="1" x14ac:dyDescent="0.3">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75" thickBot="1" x14ac:dyDescent="0.3">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75" thickBot="1" x14ac:dyDescent="0.3">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75" thickBot="1" x14ac:dyDescent="0.3">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75" thickBot="1" x14ac:dyDescent="0.3">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75" thickBot="1" x14ac:dyDescent="0.3">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75" thickBot="1" x14ac:dyDescent="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75" thickBot="1" x14ac:dyDescent="0.3">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75" thickBot="1" x14ac:dyDescent="0.3">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75" thickBot="1" x14ac:dyDescent="0.3">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75" thickBot="1" x14ac:dyDescent="0.3">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75" thickBot="1" x14ac:dyDescent="0.3">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75" thickBot="1" x14ac:dyDescent="0.3">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75" thickBot="1" x14ac:dyDescent="0.3">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75" thickBot="1" x14ac:dyDescent="0.3">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75" thickBot="1" x14ac:dyDescent="0.3">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75" thickBot="1" x14ac:dyDescent="0.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75" thickBot="1" x14ac:dyDescent="0.3">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75" thickBot="1" x14ac:dyDescent="0.3">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75" thickBot="1" x14ac:dyDescent="0.3">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75" thickBot="1" x14ac:dyDescent="0.3">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75" thickBot="1" x14ac:dyDescent="0.3">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75" thickBot="1" x14ac:dyDescent="0.3">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75" thickBot="1" x14ac:dyDescent="0.3">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75" thickBot="1" x14ac:dyDescent="0.3">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75" thickBot="1" x14ac:dyDescent="0.3">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75" thickBot="1" x14ac:dyDescent="0.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75" thickBot="1" x14ac:dyDescent="0.3">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75" thickBot="1" x14ac:dyDescent="0.3">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75" thickBot="1" x14ac:dyDescent="0.3">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75" thickBot="1" x14ac:dyDescent="0.3">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75" thickBot="1" x14ac:dyDescent="0.3">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75" thickBot="1" x14ac:dyDescent="0.3">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75" thickBot="1" x14ac:dyDescent="0.3">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75" thickBot="1" x14ac:dyDescent="0.3">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75" thickBot="1" x14ac:dyDescent="0.3">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75" thickBot="1" x14ac:dyDescent="0.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75" thickBot="1" x14ac:dyDescent="0.3">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75" thickBot="1" x14ac:dyDescent="0.3">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75" thickBot="1" x14ac:dyDescent="0.3">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75" thickBot="1" x14ac:dyDescent="0.3">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75" thickBot="1" x14ac:dyDescent="0.3">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75" thickBot="1" x14ac:dyDescent="0.3">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75" thickBot="1" x14ac:dyDescent="0.3">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75" thickBot="1" x14ac:dyDescent="0.3">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75" thickBot="1" x14ac:dyDescent="0.3">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75" thickBot="1" x14ac:dyDescent="0.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75" thickBot="1" x14ac:dyDescent="0.3">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75" thickBot="1" x14ac:dyDescent="0.3">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75" thickBot="1" x14ac:dyDescent="0.3">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75" thickBot="1" x14ac:dyDescent="0.3">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75" thickBot="1" x14ac:dyDescent="0.3">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75" thickBot="1" x14ac:dyDescent="0.3">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75" thickBot="1" x14ac:dyDescent="0.3">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75" thickBot="1" x14ac:dyDescent="0.3">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75" thickBot="1" x14ac:dyDescent="0.3">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75" thickBot="1" x14ac:dyDescent="0.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75" thickBot="1" x14ac:dyDescent="0.3">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75" thickBot="1" x14ac:dyDescent="0.3">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75" thickBot="1" x14ac:dyDescent="0.3">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75" thickBot="1" x14ac:dyDescent="0.3">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75" thickBot="1" x14ac:dyDescent="0.3">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75" thickBot="1" x14ac:dyDescent="0.3">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75" thickBot="1" x14ac:dyDescent="0.3">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75" thickBot="1" x14ac:dyDescent="0.3">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75" thickBot="1" x14ac:dyDescent="0.3">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75" thickBot="1" x14ac:dyDescent="0.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75" thickBot="1" x14ac:dyDescent="0.3">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75" thickBot="1" x14ac:dyDescent="0.3">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75" thickBot="1" x14ac:dyDescent="0.3">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75" thickBot="1" x14ac:dyDescent="0.3">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75" thickBot="1" x14ac:dyDescent="0.3">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75" thickBot="1" x14ac:dyDescent="0.3">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75" thickBot="1" x14ac:dyDescent="0.3">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75" thickBot="1" x14ac:dyDescent="0.3">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75" thickBot="1" x14ac:dyDescent="0.3">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75" thickBot="1" x14ac:dyDescent="0.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75" thickBot="1" x14ac:dyDescent="0.3">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75" thickBot="1" x14ac:dyDescent="0.3">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75" thickBot="1" x14ac:dyDescent="0.3">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75" thickBot="1" x14ac:dyDescent="0.3">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75" thickBot="1" x14ac:dyDescent="0.3">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75" thickBot="1" x14ac:dyDescent="0.3">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75" thickBot="1" x14ac:dyDescent="0.3">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75" thickBot="1" x14ac:dyDescent="0.3">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75" thickBot="1" x14ac:dyDescent="0.3">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75" thickBot="1" x14ac:dyDescent="0.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75" thickBot="1" x14ac:dyDescent="0.3">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75" thickBot="1" x14ac:dyDescent="0.3">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75" thickBot="1" x14ac:dyDescent="0.3">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75" thickBot="1" x14ac:dyDescent="0.3">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75" thickBot="1" x14ac:dyDescent="0.3">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75" thickBot="1" x14ac:dyDescent="0.3">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75" thickBot="1" x14ac:dyDescent="0.3">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75" thickBot="1" x14ac:dyDescent="0.3">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75" thickBot="1" x14ac:dyDescent="0.3">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75" thickBot="1" x14ac:dyDescent="0.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75" thickBot="1" x14ac:dyDescent="0.3">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75" thickBot="1" x14ac:dyDescent="0.3">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75" thickBot="1" x14ac:dyDescent="0.3">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75" thickBot="1" x14ac:dyDescent="0.3">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75" thickBot="1" x14ac:dyDescent="0.3">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75" thickBot="1" x14ac:dyDescent="0.3">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75" thickBot="1" x14ac:dyDescent="0.3">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75" thickBot="1" x14ac:dyDescent="0.3">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75" thickBot="1" x14ac:dyDescent="0.3">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75" thickBot="1" x14ac:dyDescent="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75" thickBot="1" x14ac:dyDescent="0.3">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75" thickBot="1" x14ac:dyDescent="0.3">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75" thickBot="1" x14ac:dyDescent="0.3">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75" thickBot="1" x14ac:dyDescent="0.3">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75" thickBot="1" x14ac:dyDescent="0.3">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75" thickBot="1" x14ac:dyDescent="0.3">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75" thickBot="1" x14ac:dyDescent="0.3">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75" thickBot="1" x14ac:dyDescent="0.3">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75" thickBot="1" x14ac:dyDescent="0.3">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75" thickBot="1" x14ac:dyDescent="0.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75" thickBot="1" x14ac:dyDescent="0.3">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75" thickBot="1" x14ac:dyDescent="0.3">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75" thickBot="1" x14ac:dyDescent="0.3">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75" thickBot="1" x14ac:dyDescent="0.3">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75" thickBot="1" x14ac:dyDescent="0.3">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75" thickBot="1" x14ac:dyDescent="0.3">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75" thickBot="1" x14ac:dyDescent="0.3">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75" thickBot="1" x14ac:dyDescent="0.3">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75" thickBot="1" x14ac:dyDescent="0.3">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75" thickBot="1" x14ac:dyDescent="0.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75" thickBot="1" x14ac:dyDescent="0.3">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75" thickBot="1" x14ac:dyDescent="0.3">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75" thickBot="1" x14ac:dyDescent="0.3">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75" thickBot="1" x14ac:dyDescent="0.3">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75" thickBot="1" x14ac:dyDescent="0.3">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75" thickBot="1" x14ac:dyDescent="0.3">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75" thickBot="1" x14ac:dyDescent="0.3">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75" thickBot="1" x14ac:dyDescent="0.3">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75" thickBot="1" x14ac:dyDescent="0.3">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75" thickBot="1" x14ac:dyDescent="0.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75" thickBot="1" x14ac:dyDescent="0.3">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75" thickBot="1" x14ac:dyDescent="0.3">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75" thickBot="1" x14ac:dyDescent="0.3">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75" thickBot="1" x14ac:dyDescent="0.3">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75" thickBot="1" x14ac:dyDescent="0.3">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75" thickBot="1" x14ac:dyDescent="0.3">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75" thickBot="1" x14ac:dyDescent="0.3">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75" thickBot="1" x14ac:dyDescent="0.3">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75" thickBot="1" x14ac:dyDescent="0.3">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75" thickBot="1" x14ac:dyDescent="0.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75" thickBot="1" x14ac:dyDescent="0.3">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75" thickBot="1" x14ac:dyDescent="0.3">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75" thickBot="1" x14ac:dyDescent="0.3">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75" thickBot="1" x14ac:dyDescent="0.3">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75" thickBot="1" x14ac:dyDescent="0.3">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75" thickBot="1" x14ac:dyDescent="0.3">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75" thickBot="1" x14ac:dyDescent="0.3">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75" thickBot="1" x14ac:dyDescent="0.3">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75" thickBot="1" x14ac:dyDescent="0.3">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75" thickBot="1" x14ac:dyDescent="0.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75" thickBot="1" x14ac:dyDescent="0.3">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75" thickBot="1" x14ac:dyDescent="0.3">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75" thickBot="1" x14ac:dyDescent="0.3">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75" thickBot="1" x14ac:dyDescent="0.3">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75" thickBot="1" x14ac:dyDescent="0.3">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75" thickBot="1" x14ac:dyDescent="0.3">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75" thickBot="1" x14ac:dyDescent="0.3">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75" thickBot="1" x14ac:dyDescent="0.3">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75" thickBot="1" x14ac:dyDescent="0.3">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75" thickBot="1" x14ac:dyDescent="0.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75" thickBot="1" x14ac:dyDescent="0.3">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75" thickBot="1" x14ac:dyDescent="0.3">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75" thickBot="1" x14ac:dyDescent="0.3">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75" thickBot="1" x14ac:dyDescent="0.3">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75" thickBot="1" x14ac:dyDescent="0.3">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75" thickBot="1" x14ac:dyDescent="0.3">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75" thickBot="1" x14ac:dyDescent="0.3">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75" thickBot="1" x14ac:dyDescent="0.3">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75" thickBot="1" x14ac:dyDescent="0.3">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75" thickBot="1" x14ac:dyDescent="0.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75" thickBot="1" x14ac:dyDescent="0.3">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75" thickBot="1" x14ac:dyDescent="0.3">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75" thickBot="1" x14ac:dyDescent="0.3">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75" thickBot="1" x14ac:dyDescent="0.3">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75" thickBot="1" x14ac:dyDescent="0.3">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75" thickBot="1" x14ac:dyDescent="0.3">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75" thickBot="1" x14ac:dyDescent="0.3">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75" thickBot="1" x14ac:dyDescent="0.3">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75" thickBot="1" x14ac:dyDescent="0.3">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75" thickBot="1" x14ac:dyDescent="0.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75" thickBot="1" x14ac:dyDescent="0.3">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75" thickBot="1" x14ac:dyDescent="0.3">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75" thickBot="1" x14ac:dyDescent="0.3">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75" thickBot="1" x14ac:dyDescent="0.3">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75" thickBot="1" x14ac:dyDescent="0.3">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75" thickBot="1" x14ac:dyDescent="0.3">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75" thickBot="1" x14ac:dyDescent="0.3">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75" thickBot="1" x14ac:dyDescent="0.3">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75" thickBot="1" x14ac:dyDescent="0.3">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75" thickBot="1" x14ac:dyDescent="0.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75" thickBot="1" x14ac:dyDescent="0.3">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75" thickBot="1" x14ac:dyDescent="0.3">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75" thickBot="1" x14ac:dyDescent="0.3">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75" thickBot="1" x14ac:dyDescent="0.3">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75" thickBot="1" x14ac:dyDescent="0.3">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75" thickBot="1" x14ac:dyDescent="0.3">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75" thickBot="1" x14ac:dyDescent="0.3">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75" thickBot="1" x14ac:dyDescent="0.3">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75" thickBot="1" x14ac:dyDescent="0.3">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75" thickBot="1" x14ac:dyDescent="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75" thickBot="1" x14ac:dyDescent="0.3">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75" thickBot="1" x14ac:dyDescent="0.3">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75" thickBot="1" x14ac:dyDescent="0.3">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75" thickBot="1" x14ac:dyDescent="0.3">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75" thickBot="1" x14ac:dyDescent="0.3">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75" thickBot="1" x14ac:dyDescent="0.3">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75" thickBot="1" x14ac:dyDescent="0.3">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75" thickBot="1" x14ac:dyDescent="0.3">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75" thickBot="1" x14ac:dyDescent="0.3">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75" thickBot="1" x14ac:dyDescent="0.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75" thickBot="1" x14ac:dyDescent="0.3">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75" thickBot="1" x14ac:dyDescent="0.3">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75" thickBot="1" x14ac:dyDescent="0.3">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75" thickBot="1" x14ac:dyDescent="0.3">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75" thickBot="1" x14ac:dyDescent="0.3">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75" thickBot="1" x14ac:dyDescent="0.3">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75" thickBot="1" x14ac:dyDescent="0.3">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75" thickBot="1" x14ac:dyDescent="0.3">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75" thickBot="1" x14ac:dyDescent="0.3">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75" thickBot="1" x14ac:dyDescent="0.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75" thickBot="1" x14ac:dyDescent="0.3">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75" thickBot="1" x14ac:dyDescent="0.3">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75" thickBot="1" x14ac:dyDescent="0.3">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75" thickBot="1" x14ac:dyDescent="0.3">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75" thickBot="1" x14ac:dyDescent="0.3">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75" thickBot="1" x14ac:dyDescent="0.3">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75" thickBot="1" x14ac:dyDescent="0.3">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75" thickBot="1" x14ac:dyDescent="0.3">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75" thickBot="1" x14ac:dyDescent="0.3">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75" thickBot="1" x14ac:dyDescent="0.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75" thickBot="1" x14ac:dyDescent="0.3">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75" thickBot="1" x14ac:dyDescent="0.3">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75" thickBot="1" x14ac:dyDescent="0.3">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75" thickBot="1" x14ac:dyDescent="0.3">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75" thickBot="1" x14ac:dyDescent="0.3">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75" thickBot="1" x14ac:dyDescent="0.3">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75" thickBot="1" x14ac:dyDescent="0.3">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75" thickBot="1" x14ac:dyDescent="0.3">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75" thickBot="1" x14ac:dyDescent="0.3">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75" thickBot="1" x14ac:dyDescent="0.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75" thickBot="1" x14ac:dyDescent="0.3">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75" thickBot="1" x14ac:dyDescent="0.3">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75" thickBot="1" x14ac:dyDescent="0.3">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75" thickBot="1" x14ac:dyDescent="0.3">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75" thickBot="1" x14ac:dyDescent="0.3">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75" thickBot="1" x14ac:dyDescent="0.3">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75" thickBot="1" x14ac:dyDescent="0.3">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75" thickBot="1" x14ac:dyDescent="0.3">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75" thickBot="1" x14ac:dyDescent="0.3">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75" thickBot="1" x14ac:dyDescent="0.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75" thickBot="1" x14ac:dyDescent="0.3">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75" thickBot="1" x14ac:dyDescent="0.3">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75" thickBot="1" x14ac:dyDescent="0.3">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75" thickBot="1" x14ac:dyDescent="0.3">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75" thickBot="1" x14ac:dyDescent="0.3">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75" thickBot="1" x14ac:dyDescent="0.3">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75" thickBot="1" x14ac:dyDescent="0.3">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75" thickBot="1" x14ac:dyDescent="0.3">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75" thickBot="1" x14ac:dyDescent="0.3">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75" thickBot="1" x14ac:dyDescent="0.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75" thickBot="1" x14ac:dyDescent="0.3">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75" thickBot="1" x14ac:dyDescent="0.3">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75" thickBot="1" x14ac:dyDescent="0.3">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75" thickBot="1" x14ac:dyDescent="0.3">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75" thickBot="1" x14ac:dyDescent="0.3">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75" thickBot="1" x14ac:dyDescent="0.3">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75" thickBot="1" x14ac:dyDescent="0.3">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75" thickBot="1" x14ac:dyDescent="0.3">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75" thickBot="1" x14ac:dyDescent="0.3">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75" thickBot="1" x14ac:dyDescent="0.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75" thickBot="1" x14ac:dyDescent="0.3">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75" thickBot="1" x14ac:dyDescent="0.3">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75" thickBot="1" x14ac:dyDescent="0.3">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75" thickBot="1" x14ac:dyDescent="0.3">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75" thickBot="1" x14ac:dyDescent="0.3">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75" thickBot="1" x14ac:dyDescent="0.3">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75" thickBot="1" x14ac:dyDescent="0.3">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75" thickBot="1" x14ac:dyDescent="0.3">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75" thickBot="1" x14ac:dyDescent="0.3">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75" thickBot="1" x14ac:dyDescent="0.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75" thickBot="1" x14ac:dyDescent="0.3">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75" thickBot="1" x14ac:dyDescent="0.3">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75" thickBot="1" x14ac:dyDescent="0.3">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75" thickBot="1" x14ac:dyDescent="0.3">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75" thickBot="1" x14ac:dyDescent="0.3">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75" thickBot="1" x14ac:dyDescent="0.3">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75" thickBot="1" x14ac:dyDescent="0.3">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75" thickBot="1" x14ac:dyDescent="0.3">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75" thickBot="1" x14ac:dyDescent="0.3">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75" thickBot="1" x14ac:dyDescent="0.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75" thickBot="1" x14ac:dyDescent="0.3">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75" thickBot="1" x14ac:dyDescent="0.3">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75" thickBot="1" x14ac:dyDescent="0.3">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75" thickBot="1" x14ac:dyDescent="0.3">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75" thickBot="1" x14ac:dyDescent="0.3">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5.75" thickBot="1" x14ac:dyDescent="0.3">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5.75" thickBot="1" x14ac:dyDescent="0.3">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5.75" thickBot="1" x14ac:dyDescent="0.3">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5.75" thickBot="1" x14ac:dyDescent="0.3">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spans="1:26" ht="15.75" thickBot="1" x14ac:dyDescent="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spans="1:26" ht="15.75" thickBot="1" x14ac:dyDescent="0.3">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spans="1:26" ht="15.75" thickBot="1" x14ac:dyDescent="0.3">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sheetData>
  <sortState xmlns:xlrd2="http://schemas.microsoft.com/office/spreadsheetml/2017/richdata2" ref="A2:Z236">
    <sortCondition ref="A2:A236"/>
  </sortState>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69FF-EB1B-4C01-9FFF-699C44701CEF}">
  <sheetPr filterMode="1"/>
  <dimension ref="A1:E142"/>
  <sheetViews>
    <sheetView workbookViewId="0">
      <selection activeCell="G23" sqref="G23"/>
    </sheetView>
  </sheetViews>
  <sheetFormatPr defaultRowHeight="15" x14ac:dyDescent="0.25"/>
  <cols>
    <col min="1" max="1" width="17.7109375" customWidth="1"/>
    <col min="2" max="2" width="18.85546875" bestFit="1" customWidth="1"/>
    <col min="3" max="3" width="7.5703125" bestFit="1" customWidth="1"/>
  </cols>
  <sheetData>
    <row r="1" spans="1:5" x14ac:dyDescent="0.25">
      <c r="A1" s="1" t="s">
        <v>649</v>
      </c>
      <c r="B1" s="1" t="s">
        <v>650</v>
      </c>
      <c r="C1" s="1" t="s">
        <v>651</v>
      </c>
      <c r="E1" s="3" t="s">
        <v>795</v>
      </c>
    </row>
    <row r="2" spans="1:5" x14ac:dyDescent="0.25">
      <c r="A2" t="s">
        <v>652</v>
      </c>
      <c r="B2" s="2">
        <v>48600</v>
      </c>
      <c r="C2" t="s">
        <v>653</v>
      </c>
    </row>
    <row r="3" spans="1:5" x14ac:dyDescent="0.25">
      <c r="A3" t="s">
        <v>654</v>
      </c>
      <c r="B3" s="2">
        <v>27380</v>
      </c>
      <c r="C3" t="s">
        <v>653</v>
      </c>
    </row>
    <row r="4" spans="1:5" x14ac:dyDescent="0.25">
      <c r="A4" t="s">
        <v>655</v>
      </c>
      <c r="B4" s="2">
        <v>22740</v>
      </c>
      <c r="C4" t="s">
        <v>653</v>
      </c>
    </row>
    <row r="5" spans="1:5" x14ac:dyDescent="0.25">
      <c r="A5" t="s">
        <v>656</v>
      </c>
      <c r="B5" s="2">
        <v>12510</v>
      </c>
      <c r="C5" t="s">
        <v>653</v>
      </c>
    </row>
    <row r="6" spans="1:5" x14ac:dyDescent="0.25">
      <c r="A6" t="s">
        <v>657</v>
      </c>
      <c r="B6" s="2">
        <v>10950</v>
      </c>
      <c r="C6" t="s">
        <v>653</v>
      </c>
    </row>
    <row r="7" spans="1:5" x14ac:dyDescent="0.25">
      <c r="A7" t="s">
        <v>658</v>
      </c>
      <c r="B7" s="2">
        <v>10830</v>
      </c>
      <c r="C7" t="s">
        <v>653</v>
      </c>
    </row>
    <row r="8" spans="1:5" x14ac:dyDescent="0.25">
      <c r="A8" t="s">
        <v>659</v>
      </c>
      <c r="B8" s="2">
        <v>9631</v>
      </c>
      <c r="C8" t="s">
        <v>653</v>
      </c>
    </row>
    <row r="9" spans="1:5" x14ac:dyDescent="0.25">
      <c r="A9" t="s">
        <v>660</v>
      </c>
      <c r="B9" s="2">
        <v>8380</v>
      </c>
      <c r="C9" t="s">
        <v>653</v>
      </c>
    </row>
    <row r="10" spans="1:5" x14ac:dyDescent="0.25">
      <c r="A10" t="s">
        <v>661</v>
      </c>
      <c r="B10" s="2">
        <v>5568</v>
      </c>
      <c r="C10" t="s">
        <v>653</v>
      </c>
    </row>
    <row r="11" spans="1:5" x14ac:dyDescent="0.25">
      <c r="A11" t="s">
        <v>662</v>
      </c>
      <c r="B11" s="2">
        <v>5400</v>
      </c>
      <c r="C11" t="s">
        <v>653</v>
      </c>
    </row>
    <row r="12" spans="1:5" x14ac:dyDescent="0.25">
      <c r="A12" t="s">
        <v>663</v>
      </c>
      <c r="B12" s="2">
        <v>4395</v>
      </c>
      <c r="C12" t="s">
        <v>653</v>
      </c>
    </row>
    <row r="13" spans="1:5" x14ac:dyDescent="0.25">
      <c r="A13" t="s">
        <v>664</v>
      </c>
      <c r="B13" s="2">
        <v>4110</v>
      </c>
      <c r="C13" t="s">
        <v>653</v>
      </c>
    </row>
    <row r="14" spans="1:5" x14ac:dyDescent="0.25">
      <c r="A14" t="s">
        <v>665</v>
      </c>
      <c r="B14" s="2">
        <v>4080</v>
      </c>
      <c r="C14" t="s">
        <v>653</v>
      </c>
    </row>
    <row r="15" spans="1:5" x14ac:dyDescent="0.25">
      <c r="A15" t="s">
        <v>666</v>
      </c>
      <c r="B15" s="2">
        <v>3660</v>
      </c>
      <c r="C15" t="s">
        <v>653</v>
      </c>
    </row>
    <row r="16" spans="1:5" x14ac:dyDescent="0.25">
      <c r="A16" t="s">
        <v>667</v>
      </c>
      <c r="B16" s="2">
        <v>3200</v>
      </c>
      <c r="C16" t="s">
        <v>653</v>
      </c>
    </row>
    <row r="17" spans="1:3" x14ac:dyDescent="0.25">
      <c r="A17" t="s">
        <v>668</v>
      </c>
      <c r="B17" s="2">
        <v>3165</v>
      </c>
      <c r="C17" t="s">
        <v>653</v>
      </c>
    </row>
    <row r="18" spans="1:3" x14ac:dyDescent="0.25">
      <c r="A18" t="s">
        <v>669</v>
      </c>
      <c r="B18" s="2">
        <v>2765</v>
      </c>
      <c r="C18" t="s">
        <v>653</v>
      </c>
    </row>
    <row r="19" spans="1:3" x14ac:dyDescent="0.25">
      <c r="A19" t="s">
        <v>670</v>
      </c>
      <c r="B19" s="2">
        <v>2265</v>
      </c>
      <c r="C19" t="s">
        <v>653</v>
      </c>
    </row>
    <row r="20" spans="1:3" x14ac:dyDescent="0.25">
      <c r="A20" t="s">
        <v>671</v>
      </c>
      <c r="B20" s="2">
        <v>2185</v>
      </c>
      <c r="C20" t="s">
        <v>653</v>
      </c>
    </row>
    <row r="21" spans="1:3" x14ac:dyDescent="0.25">
      <c r="A21" t="s">
        <v>672</v>
      </c>
      <c r="B21" s="2">
        <v>2070</v>
      </c>
      <c r="C21" t="s">
        <v>653</v>
      </c>
    </row>
    <row r="22" spans="1:3" x14ac:dyDescent="0.25">
      <c r="A22" t="s">
        <v>673</v>
      </c>
      <c r="B22" s="2">
        <v>1925</v>
      </c>
      <c r="C22" t="s">
        <v>653</v>
      </c>
    </row>
    <row r="23" spans="1:3" x14ac:dyDescent="0.25">
      <c r="A23" t="s">
        <v>674</v>
      </c>
      <c r="B23" s="2">
        <v>1895</v>
      </c>
      <c r="C23" t="s">
        <v>653</v>
      </c>
    </row>
    <row r="24" spans="1:3" x14ac:dyDescent="0.25">
      <c r="A24" t="s">
        <v>675</v>
      </c>
      <c r="B24" s="2">
        <v>1370</v>
      </c>
      <c r="C24" t="s">
        <v>653</v>
      </c>
    </row>
    <row r="25" spans="1:3" x14ac:dyDescent="0.25">
      <c r="A25" t="s">
        <v>676</v>
      </c>
      <c r="B25" s="2">
        <v>1300</v>
      </c>
      <c r="C25" t="s">
        <v>653</v>
      </c>
    </row>
    <row r="26" spans="1:3" x14ac:dyDescent="0.25">
      <c r="A26" t="s">
        <v>677</v>
      </c>
      <c r="B26" s="2">
        <v>1215</v>
      </c>
      <c r="C26" t="s">
        <v>653</v>
      </c>
    </row>
    <row r="27" spans="1:3" x14ac:dyDescent="0.25">
      <c r="A27" t="s">
        <v>678</v>
      </c>
      <c r="B27" s="2">
        <v>1020</v>
      </c>
      <c r="C27" t="s">
        <v>653</v>
      </c>
    </row>
    <row r="28" spans="1:3" x14ac:dyDescent="0.25">
      <c r="A28" t="s">
        <v>679</v>
      </c>
      <c r="B28" s="2">
        <v>1010</v>
      </c>
      <c r="C28" t="s">
        <v>653</v>
      </c>
    </row>
    <row r="29" spans="1:3" x14ac:dyDescent="0.25">
      <c r="A29" t="s">
        <v>680</v>
      </c>
      <c r="B29" s="2">
        <v>945</v>
      </c>
      <c r="C29" t="s">
        <v>653</v>
      </c>
    </row>
    <row r="30" spans="1:3" x14ac:dyDescent="0.25">
      <c r="A30" t="s">
        <v>681</v>
      </c>
      <c r="B30" s="2">
        <v>840</v>
      </c>
      <c r="C30" t="s">
        <v>653</v>
      </c>
    </row>
    <row r="31" spans="1:3" x14ac:dyDescent="0.25">
      <c r="A31" t="s">
        <v>682</v>
      </c>
      <c r="B31" s="2">
        <v>780</v>
      </c>
      <c r="C31" t="s">
        <v>653</v>
      </c>
    </row>
    <row r="32" spans="1:3" x14ac:dyDescent="0.25">
      <c r="A32" t="s">
        <v>683</v>
      </c>
      <c r="B32" s="2">
        <v>770</v>
      </c>
      <c r="C32" t="s">
        <v>653</v>
      </c>
    </row>
    <row r="33" spans="1:3" x14ac:dyDescent="0.25">
      <c r="A33" t="s">
        <v>684</v>
      </c>
      <c r="B33" s="2">
        <v>730</v>
      </c>
      <c r="C33" t="s">
        <v>653</v>
      </c>
    </row>
    <row r="34" spans="1:3" x14ac:dyDescent="0.25">
      <c r="A34" t="s">
        <v>685</v>
      </c>
      <c r="B34" s="2">
        <v>630</v>
      </c>
      <c r="C34" t="s">
        <v>653</v>
      </c>
    </row>
    <row r="35" spans="1:3" x14ac:dyDescent="0.25">
      <c r="A35" t="s">
        <v>686</v>
      </c>
      <c r="B35" s="2">
        <v>630</v>
      </c>
      <c r="C35" t="s">
        <v>653</v>
      </c>
    </row>
    <row r="36" spans="1:3" x14ac:dyDescent="0.25">
      <c r="A36" t="s">
        <v>687</v>
      </c>
      <c r="B36" s="2">
        <v>580</v>
      </c>
      <c r="C36" t="s">
        <v>653</v>
      </c>
    </row>
    <row r="37" spans="1:3" x14ac:dyDescent="0.25">
      <c r="A37" t="s">
        <v>688</v>
      </c>
      <c r="B37" s="2">
        <v>540</v>
      </c>
      <c r="C37" t="s">
        <v>653</v>
      </c>
    </row>
    <row r="38" spans="1:3" x14ac:dyDescent="0.25">
      <c r="A38" t="s">
        <v>689</v>
      </c>
      <c r="B38" s="2">
        <v>525</v>
      </c>
      <c r="C38" t="s">
        <v>653</v>
      </c>
    </row>
    <row r="39" spans="1:3" x14ac:dyDescent="0.25">
      <c r="A39" t="s">
        <v>690</v>
      </c>
      <c r="B39" s="2">
        <v>525</v>
      </c>
      <c r="C39" t="s">
        <v>653</v>
      </c>
    </row>
    <row r="40" spans="1:3" x14ac:dyDescent="0.25">
      <c r="A40" t="s">
        <v>691</v>
      </c>
      <c r="B40" s="2">
        <v>524</v>
      </c>
      <c r="C40" t="s">
        <v>653</v>
      </c>
    </row>
    <row r="41" spans="1:3" x14ac:dyDescent="0.25">
      <c r="A41" t="s">
        <v>692</v>
      </c>
      <c r="B41" s="2">
        <v>495</v>
      </c>
      <c r="C41" t="s">
        <v>653</v>
      </c>
    </row>
    <row r="42" spans="1:3" x14ac:dyDescent="0.25">
      <c r="A42" t="s">
        <v>693</v>
      </c>
      <c r="B42" s="2">
        <v>495</v>
      </c>
      <c r="C42" t="s">
        <v>653</v>
      </c>
    </row>
    <row r="43" spans="1:3" x14ac:dyDescent="0.25">
      <c r="A43" t="s">
        <v>694</v>
      </c>
      <c r="B43" s="2">
        <v>490</v>
      </c>
      <c r="C43" t="s">
        <v>653</v>
      </c>
    </row>
    <row r="44" spans="1:3" x14ac:dyDescent="0.25">
      <c r="A44" t="s">
        <v>695</v>
      </c>
      <c r="B44" s="2">
        <v>450</v>
      </c>
      <c r="C44" t="s">
        <v>653</v>
      </c>
    </row>
    <row r="45" spans="1:3" x14ac:dyDescent="0.25">
      <c r="A45" t="s">
        <v>696</v>
      </c>
      <c r="B45" s="2">
        <v>450</v>
      </c>
      <c r="C45" t="s">
        <v>653</v>
      </c>
    </row>
    <row r="46" spans="1:3" x14ac:dyDescent="0.25">
      <c r="A46" t="s">
        <v>697</v>
      </c>
      <c r="B46" s="2">
        <v>360</v>
      </c>
      <c r="C46" t="s">
        <v>653</v>
      </c>
    </row>
    <row r="47" spans="1:3" x14ac:dyDescent="0.25">
      <c r="A47" t="s">
        <v>698</v>
      </c>
      <c r="B47" s="2">
        <v>345</v>
      </c>
      <c r="C47" t="s">
        <v>653</v>
      </c>
    </row>
    <row r="48" spans="1:3" x14ac:dyDescent="0.25">
      <c r="A48" t="s">
        <v>699</v>
      </c>
      <c r="B48" s="2">
        <v>330</v>
      </c>
      <c r="C48" t="s">
        <v>653</v>
      </c>
    </row>
    <row r="49" spans="1:3" hidden="1" x14ac:dyDescent="0.25">
      <c r="A49" t="s">
        <v>700</v>
      </c>
      <c r="B49" s="2">
        <v>300</v>
      </c>
      <c r="C49" t="s">
        <v>701</v>
      </c>
    </row>
    <row r="50" spans="1:3" x14ac:dyDescent="0.25">
      <c r="A50" t="s">
        <v>702</v>
      </c>
      <c r="B50" s="2">
        <v>300</v>
      </c>
      <c r="C50" t="s">
        <v>653</v>
      </c>
    </row>
    <row r="51" spans="1:3" x14ac:dyDescent="0.25">
      <c r="A51" t="s">
        <v>703</v>
      </c>
      <c r="B51" s="2">
        <v>285</v>
      </c>
      <c r="C51" t="s">
        <v>653</v>
      </c>
    </row>
    <row r="52" spans="1:3" x14ac:dyDescent="0.25">
      <c r="A52" t="s">
        <v>704</v>
      </c>
      <c r="B52" s="2">
        <v>265</v>
      </c>
      <c r="C52" t="s">
        <v>653</v>
      </c>
    </row>
    <row r="53" spans="1:3" hidden="1" x14ac:dyDescent="0.25">
      <c r="A53" t="s">
        <v>705</v>
      </c>
      <c r="B53" s="2">
        <v>260</v>
      </c>
      <c r="C53" t="s">
        <v>706</v>
      </c>
    </row>
    <row r="54" spans="1:3" x14ac:dyDescent="0.25">
      <c r="A54" t="s">
        <v>707</v>
      </c>
      <c r="B54" s="2">
        <v>245</v>
      </c>
      <c r="C54" t="s">
        <v>653</v>
      </c>
    </row>
    <row r="55" spans="1:3" x14ac:dyDescent="0.25">
      <c r="A55" t="s">
        <v>708</v>
      </c>
      <c r="B55" s="2">
        <v>240</v>
      </c>
      <c r="C55" t="s">
        <v>653</v>
      </c>
    </row>
    <row r="56" spans="1:3" x14ac:dyDescent="0.25">
      <c r="A56" t="s">
        <v>709</v>
      </c>
      <c r="B56" s="2">
        <v>240</v>
      </c>
      <c r="C56" t="s">
        <v>653</v>
      </c>
    </row>
    <row r="57" spans="1:3" x14ac:dyDescent="0.25">
      <c r="A57" t="s">
        <v>710</v>
      </c>
      <c r="B57" s="2">
        <v>240</v>
      </c>
      <c r="C57" t="s">
        <v>653</v>
      </c>
    </row>
    <row r="58" spans="1:3" x14ac:dyDescent="0.25">
      <c r="A58" t="s">
        <v>711</v>
      </c>
      <c r="B58" s="2">
        <v>210</v>
      </c>
      <c r="C58" t="s">
        <v>653</v>
      </c>
    </row>
    <row r="59" spans="1:3" x14ac:dyDescent="0.25">
      <c r="A59" t="s">
        <v>712</v>
      </c>
      <c r="B59" s="2">
        <v>210</v>
      </c>
      <c r="C59" t="s">
        <v>653</v>
      </c>
    </row>
    <row r="60" spans="1:3" x14ac:dyDescent="0.25">
      <c r="A60" t="s">
        <v>713</v>
      </c>
      <c r="B60" s="2">
        <v>200</v>
      </c>
      <c r="C60" t="s">
        <v>653</v>
      </c>
    </row>
    <row r="61" spans="1:3" x14ac:dyDescent="0.25">
      <c r="A61" t="s">
        <v>714</v>
      </c>
      <c r="B61" s="2">
        <v>194</v>
      </c>
      <c r="C61" t="s">
        <v>653</v>
      </c>
    </row>
    <row r="62" spans="1:3" x14ac:dyDescent="0.25">
      <c r="A62" t="s">
        <v>715</v>
      </c>
      <c r="B62" s="2">
        <v>180</v>
      </c>
      <c r="C62" t="s">
        <v>653</v>
      </c>
    </row>
    <row r="63" spans="1:3" x14ac:dyDescent="0.25">
      <c r="A63" t="s">
        <v>716</v>
      </c>
      <c r="B63" s="2">
        <v>180</v>
      </c>
      <c r="C63" t="s">
        <v>653</v>
      </c>
    </row>
    <row r="64" spans="1:3" x14ac:dyDescent="0.25">
      <c r="A64" t="s">
        <v>717</v>
      </c>
      <c r="B64" s="2">
        <v>180</v>
      </c>
      <c r="C64" t="s">
        <v>653</v>
      </c>
    </row>
    <row r="65" spans="1:3" x14ac:dyDescent="0.25">
      <c r="A65" t="s">
        <v>718</v>
      </c>
      <c r="B65" s="2">
        <v>180</v>
      </c>
      <c r="C65" t="s">
        <v>653</v>
      </c>
    </row>
    <row r="66" spans="1:3" x14ac:dyDescent="0.25">
      <c r="A66" t="s">
        <v>719</v>
      </c>
      <c r="B66" s="2">
        <v>175</v>
      </c>
      <c r="C66" t="s">
        <v>653</v>
      </c>
    </row>
    <row r="67" spans="1:3" x14ac:dyDescent="0.25">
      <c r="A67" t="s">
        <v>720</v>
      </c>
      <c r="B67" s="2">
        <v>170</v>
      </c>
      <c r="C67" t="s">
        <v>653</v>
      </c>
    </row>
    <row r="68" spans="1:3" x14ac:dyDescent="0.25">
      <c r="A68" t="s">
        <v>721</v>
      </c>
      <c r="B68" s="2">
        <v>160</v>
      </c>
      <c r="C68" t="s">
        <v>653</v>
      </c>
    </row>
    <row r="69" spans="1:3" x14ac:dyDescent="0.25">
      <c r="A69" t="s">
        <v>722</v>
      </c>
      <c r="B69" s="2">
        <v>155</v>
      </c>
      <c r="C69" t="s">
        <v>653</v>
      </c>
    </row>
    <row r="70" spans="1:3" hidden="1" x14ac:dyDescent="0.25">
      <c r="A70" t="s">
        <v>723</v>
      </c>
      <c r="B70" s="2">
        <v>150</v>
      </c>
      <c r="C70" t="s">
        <v>724</v>
      </c>
    </row>
    <row r="71" spans="1:3" x14ac:dyDescent="0.25">
      <c r="A71" t="s">
        <v>725</v>
      </c>
      <c r="B71" s="2">
        <v>150</v>
      </c>
      <c r="C71" t="s">
        <v>653</v>
      </c>
    </row>
    <row r="72" spans="1:3" x14ac:dyDescent="0.25">
      <c r="A72" t="s">
        <v>726</v>
      </c>
      <c r="B72" s="2">
        <v>145</v>
      </c>
      <c r="C72" t="s">
        <v>653</v>
      </c>
    </row>
    <row r="73" spans="1:3" x14ac:dyDescent="0.25">
      <c r="A73" t="s">
        <v>727</v>
      </c>
      <c r="B73" s="2">
        <v>135</v>
      </c>
      <c r="C73" t="s">
        <v>653</v>
      </c>
    </row>
    <row r="74" spans="1:3" hidden="1" x14ac:dyDescent="0.25">
      <c r="A74" t="s">
        <v>728</v>
      </c>
      <c r="B74" s="2">
        <v>132</v>
      </c>
      <c r="C74" t="s">
        <v>729</v>
      </c>
    </row>
    <row r="75" spans="1:3" hidden="1" x14ac:dyDescent="0.25">
      <c r="A75" t="s">
        <v>730</v>
      </c>
      <c r="B75" s="2">
        <v>131</v>
      </c>
      <c r="C75" t="s">
        <v>731</v>
      </c>
    </row>
    <row r="76" spans="1:3" x14ac:dyDescent="0.25">
      <c r="A76" t="s">
        <v>732</v>
      </c>
      <c r="B76" s="2">
        <v>120</v>
      </c>
      <c r="C76" t="s">
        <v>653</v>
      </c>
    </row>
    <row r="77" spans="1:3" x14ac:dyDescent="0.25">
      <c r="A77" t="s">
        <v>733</v>
      </c>
      <c r="B77" s="2">
        <v>120</v>
      </c>
      <c r="C77" t="s">
        <v>653</v>
      </c>
    </row>
    <row r="78" spans="1:3" x14ac:dyDescent="0.25">
      <c r="A78" t="s">
        <v>734</v>
      </c>
      <c r="B78" s="2">
        <v>120</v>
      </c>
      <c r="C78" t="s">
        <v>653</v>
      </c>
    </row>
    <row r="79" spans="1:3" x14ac:dyDescent="0.25">
      <c r="A79" t="s">
        <v>735</v>
      </c>
      <c r="B79" s="2">
        <v>120</v>
      </c>
      <c r="C79" t="s">
        <v>653</v>
      </c>
    </row>
    <row r="80" spans="1:3" x14ac:dyDescent="0.25">
      <c r="A80" t="s">
        <v>736</v>
      </c>
      <c r="B80" s="2">
        <v>120</v>
      </c>
      <c r="C80" t="s">
        <v>653</v>
      </c>
    </row>
    <row r="81" spans="1:3" x14ac:dyDescent="0.25">
      <c r="A81" t="s">
        <v>737</v>
      </c>
      <c r="B81" s="2">
        <v>120</v>
      </c>
      <c r="C81" t="s">
        <v>653</v>
      </c>
    </row>
    <row r="82" spans="1:3" x14ac:dyDescent="0.25">
      <c r="A82" t="s">
        <v>738</v>
      </c>
      <c r="B82" s="2">
        <v>105</v>
      </c>
      <c r="C82" t="s">
        <v>653</v>
      </c>
    </row>
    <row r="83" spans="1:3" x14ac:dyDescent="0.25">
      <c r="A83" t="s">
        <v>739</v>
      </c>
      <c r="B83" s="2">
        <v>100</v>
      </c>
      <c r="C83" t="s">
        <v>653</v>
      </c>
    </row>
    <row r="84" spans="1:3" x14ac:dyDescent="0.25">
      <c r="A84" t="s">
        <v>740</v>
      </c>
      <c r="B84" s="2">
        <v>100</v>
      </c>
      <c r="C84" t="s">
        <v>653</v>
      </c>
    </row>
    <row r="85" spans="1:3" hidden="1" x14ac:dyDescent="0.25">
      <c r="A85" t="s">
        <v>741</v>
      </c>
      <c r="B85" s="2">
        <v>95</v>
      </c>
      <c r="C85" t="s">
        <v>729</v>
      </c>
    </row>
    <row r="86" spans="1:3" hidden="1" x14ac:dyDescent="0.25">
      <c r="A86" t="s">
        <v>742</v>
      </c>
      <c r="B86" s="2">
        <v>93</v>
      </c>
      <c r="C86" t="s">
        <v>731</v>
      </c>
    </row>
    <row r="87" spans="1:3" x14ac:dyDescent="0.25">
      <c r="A87" t="s">
        <v>743</v>
      </c>
      <c r="B87" s="2">
        <v>90</v>
      </c>
      <c r="C87" t="s">
        <v>653</v>
      </c>
    </row>
    <row r="88" spans="1:3" x14ac:dyDescent="0.25">
      <c r="A88" t="s">
        <v>744</v>
      </c>
      <c r="B88" s="2">
        <v>90</v>
      </c>
      <c r="C88" t="s">
        <v>653</v>
      </c>
    </row>
    <row r="89" spans="1:3" hidden="1" x14ac:dyDescent="0.25">
      <c r="A89" t="s">
        <v>745</v>
      </c>
      <c r="B89" s="2">
        <v>81</v>
      </c>
      <c r="C89" t="s">
        <v>731</v>
      </c>
    </row>
    <row r="90" spans="1:3" x14ac:dyDescent="0.25">
      <c r="A90" t="s">
        <v>746</v>
      </c>
      <c r="B90" s="2">
        <v>80</v>
      </c>
      <c r="C90" t="s">
        <v>653</v>
      </c>
    </row>
    <row r="91" spans="1:3" hidden="1" x14ac:dyDescent="0.25">
      <c r="A91" t="s">
        <v>747</v>
      </c>
      <c r="B91" s="2">
        <v>64</v>
      </c>
      <c r="C91" t="s">
        <v>731</v>
      </c>
    </row>
    <row r="92" spans="1:3" x14ac:dyDescent="0.25">
      <c r="A92" t="s">
        <v>748</v>
      </c>
      <c r="B92" s="2">
        <v>60</v>
      </c>
      <c r="C92" t="s">
        <v>653</v>
      </c>
    </row>
    <row r="93" spans="1:3" x14ac:dyDescent="0.25">
      <c r="A93" t="s">
        <v>749</v>
      </c>
      <c r="B93" s="2">
        <v>60</v>
      </c>
      <c r="C93" t="s">
        <v>653</v>
      </c>
    </row>
    <row r="94" spans="1:3" hidden="1" x14ac:dyDescent="0.25">
      <c r="A94" t="s">
        <v>672</v>
      </c>
      <c r="B94" s="2">
        <v>60</v>
      </c>
      <c r="C94" t="s">
        <v>706</v>
      </c>
    </row>
    <row r="95" spans="1:3" x14ac:dyDescent="0.25">
      <c r="A95" t="s">
        <v>750</v>
      </c>
      <c r="B95" s="2">
        <v>60</v>
      </c>
      <c r="C95" t="s">
        <v>653</v>
      </c>
    </row>
    <row r="96" spans="1:3" x14ac:dyDescent="0.25">
      <c r="A96" t="s">
        <v>751</v>
      </c>
      <c r="B96" s="2">
        <v>50</v>
      </c>
      <c r="C96" t="s">
        <v>653</v>
      </c>
    </row>
    <row r="97" spans="1:3" x14ac:dyDescent="0.25">
      <c r="A97" t="s">
        <v>752</v>
      </c>
      <c r="B97" s="2">
        <v>50</v>
      </c>
      <c r="C97" t="s">
        <v>653</v>
      </c>
    </row>
    <row r="98" spans="1:3" x14ac:dyDescent="0.25">
      <c r="A98" t="s">
        <v>753</v>
      </c>
      <c r="B98" s="2">
        <v>49</v>
      </c>
      <c r="C98" t="s">
        <v>653</v>
      </c>
    </row>
    <row r="99" spans="1:3" x14ac:dyDescent="0.25">
      <c r="A99" t="s">
        <v>754</v>
      </c>
      <c r="B99" s="2">
        <v>45</v>
      </c>
      <c r="C99" t="s">
        <v>653</v>
      </c>
    </row>
    <row r="100" spans="1:3" x14ac:dyDescent="0.25">
      <c r="A100" t="s">
        <v>755</v>
      </c>
      <c r="B100" s="2">
        <v>45</v>
      </c>
      <c r="C100" t="s">
        <v>653</v>
      </c>
    </row>
    <row r="101" spans="1:3" x14ac:dyDescent="0.25">
      <c r="A101" t="s">
        <v>756</v>
      </c>
      <c r="B101" s="2">
        <v>40</v>
      </c>
      <c r="C101" t="s">
        <v>653</v>
      </c>
    </row>
    <row r="102" spans="1:3" x14ac:dyDescent="0.25">
      <c r="A102" t="s">
        <v>757</v>
      </c>
      <c r="B102" s="2">
        <v>35</v>
      </c>
      <c r="C102" t="s">
        <v>653</v>
      </c>
    </row>
    <row r="103" spans="1:3" x14ac:dyDescent="0.25">
      <c r="A103" t="s">
        <v>758</v>
      </c>
      <c r="B103" s="2">
        <v>32.5</v>
      </c>
      <c r="C103" t="s">
        <v>653</v>
      </c>
    </row>
    <row r="104" spans="1:3" hidden="1" x14ac:dyDescent="0.25">
      <c r="A104" t="s">
        <v>759</v>
      </c>
      <c r="B104" s="2">
        <v>30</v>
      </c>
      <c r="C104" t="s">
        <v>724</v>
      </c>
    </row>
    <row r="105" spans="1:3" x14ac:dyDescent="0.25">
      <c r="A105" t="s">
        <v>760</v>
      </c>
      <c r="B105" s="2">
        <v>30</v>
      </c>
      <c r="C105" t="s">
        <v>653</v>
      </c>
    </row>
    <row r="106" spans="1:3" x14ac:dyDescent="0.25">
      <c r="A106" t="s">
        <v>761</v>
      </c>
      <c r="B106" s="2">
        <v>30</v>
      </c>
      <c r="C106" t="s">
        <v>653</v>
      </c>
    </row>
    <row r="107" spans="1:3" hidden="1" x14ac:dyDescent="0.25">
      <c r="A107" t="s">
        <v>762</v>
      </c>
      <c r="B107" s="2">
        <v>30</v>
      </c>
      <c r="C107" t="s">
        <v>763</v>
      </c>
    </row>
    <row r="108" spans="1:3" x14ac:dyDescent="0.25">
      <c r="A108" t="s">
        <v>764</v>
      </c>
      <c r="B108" s="2">
        <v>30</v>
      </c>
      <c r="C108" t="s">
        <v>653</v>
      </c>
    </row>
    <row r="109" spans="1:3" hidden="1" x14ac:dyDescent="0.25">
      <c r="A109" t="s">
        <v>728</v>
      </c>
      <c r="B109" s="2">
        <v>26</v>
      </c>
      <c r="C109" t="s">
        <v>765</v>
      </c>
    </row>
    <row r="110" spans="1:3" hidden="1" x14ac:dyDescent="0.25">
      <c r="A110" t="s">
        <v>700</v>
      </c>
      <c r="B110" s="2">
        <v>24</v>
      </c>
      <c r="C110" t="s">
        <v>766</v>
      </c>
    </row>
    <row r="111" spans="1:3" hidden="1" x14ac:dyDescent="0.25">
      <c r="A111" t="s">
        <v>767</v>
      </c>
      <c r="B111" s="2">
        <v>21</v>
      </c>
      <c r="C111" t="s">
        <v>763</v>
      </c>
    </row>
    <row r="112" spans="1:3" x14ac:dyDescent="0.25">
      <c r="A112" t="s">
        <v>768</v>
      </c>
      <c r="B112" s="2">
        <v>20</v>
      </c>
      <c r="C112" t="s">
        <v>653</v>
      </c>
    </row>
    <row r="113" spans="1:3" x14ac:dyDescent="0.25">
      <c r="A113" t="s">
        <v>769</v>
      </c>
      <c r="B113" s="2">
        <v>20</v>
      </c>
      <c r="C113" t="s">
        <v>653</v>
      </c>
    </row>
    <row r="114" spans="1:3" hidden="1" x14ac:dyDescent="0.25">
      <c r="A114" t="s">
        <v>770</v>
      </c>
      <c r="B114" s="2">
        <v>18</v>
      </c>
      <c r="C114" t="s">
        <v>724</v>
      </c>
    </row>
    <row r="115" spans="1:3" x14ac:dyDescent="0.25">
      <c r="A115" t="s">
        <v>771</v>
      </c>
      <c r="B115" s="2">
        <v>17.5</v>
      </c>
      <c r="C115" t="s">
        <v>653</v>
      </c>
    </row>
    <row r="116" spans="1:3" hidden="1" x14ac:dyDescent="0.25">
      <c r="A116" t="s">
        <v>758</v>
      </c>
      <c r="B116" s="2">
        <v>16</v>
      </c>
      <c r="C116" t="s">
        <v>724</v>
      </c>
    </row>
    <row r="117" spans="1:3" x14ac:dyDescent="0.25">
      <c r="A117" t="s">
        <v>772</v>
      </c>
      <c r="B117" s="2">
        <v>15</v>
      </c>
      <c r="C117" t="s">
        <v>653</v>
      </c>
    </row>
    <row r="118" spans="1:3" x14ac:dyDescent="0.25">
      <c r="A118" t="s">
        <v>773</v>
      </c>
      <c r="B118" s="2">
        <v>15</v>
      </c>
      <c r="C118" t="s">
        <v>653</v>
      </c>
    </row>
    <row r="119" spans="1:3" hidden="1" x14ac:dyDescent="0.25">
      <c r="A119" t="s">
        <v>747</v>
      </c>
      <c r="B119" s="2">
        <v>15</v>
      </c>
      <c r="C119" t="s">
        <v>774</v>
      </c>
    </row>
    <row r="120" spans="1:3" x14ac:dyDescent="0.25">
      <c r="A120" t="s">
        <v>775</v>
      </c>
      <c r="B120" s="2">
        <v>15</v>
      </c>
      <c r="C120" t="s">
        <v>653</v>
      </c>
    </row>
    <row r="121" spans="1:3" x14ac:dyDescent="0.25">
      <c r="A121" t="s">
        <v>776</v>
      </c>
      <c r="B121" s="2">
        <v>14</v>
      </c>
      <c r="C121" t="s">
        <v>653</v>
      </c>
    </row>
    <row r="122" spans="1:3" hidden="1" x14ac:dyDescent="0.25">
      <c r="A122" t="s">
        <v>777</v>
      </c>
      <c r="B122" s="2">
        <v>11</v>
      </c>
      <c r="C122" t="s">
        <v>778</v>
      </c>
    </row>
    <row r="123" spans="1:3" hidden="1" x14ac:dyDescent="0.25">
      <c r="A123" t="s">
        <v>730</v>
      </c>
      <c r="B123" s="2">
        <v>8</v>
      </c>
      <c r="C123" t="s">
        <v>774</v>
      </c>
    </row>
    <row r="124" spans="1:3" x14ac:dyDescent="0.25">
      <c r="A124" t="s">
        <v>779</v>
      </c>
      <c r="B124" s="2">
        <v>7</v>
      </c>
      <c r="C124" t="s">
        <v>653</v>
      </c>
    </row>
    <row r="125" spans="1:3" hidden="1" x14ac:dyDescent="0.25">
      <c r="A125" t="s">
        <v>728</v>
      </c>
      <c r="B125" s="2">
        <v>7</v>
      </c>
      <c r="C125" t="s">
        <v>780</v>
      </c>
    </row>
    <row r="126" spans="1:3" hidden="1" x14ac:dyDescent="0.25">
      <c r="A126" t="s">
        <v>777</v>
      </c>
      <c r="B126" s="2">
        <v>6</v>
      </c>
      <c r="C126" t="s">
        <v>781</v>
      </c>
    </row>
    <row r="127" spans="1:3" hidden="1" x14ac:dyDescent="0.25">
      <c r="A127" t="s">
        <v>782</v>
      </c>
      <c r="B127" s="2">
        <v>5</v>
      </c>
      <c r="C127" t="s">
        <v>778</v>
      </c>
    </row>
    <row r="128" spans="1:3" hidden="1" x14ac:dyDescent="0.25">
      <c r="A128" t="s">
        <v>783</v>
      </c>
      <c r="B128" s="2">
        <v>5</v>
      </c>
      <c r="C128" t="s">
        <v>701</v>
      </c>
    </row>
    <row r="129" spans="1:3" hidden="1" x14ac:dyDescent="0.25">
      <c r="A129" t="s">
        <v>723</v>
      </c>
      <c r="B129" s="2">
        <v>4</v>
      </c>
      <c r="C129" t="s">
        <v>763</v>
      </c>
    </row>
    <row r="130" spans="1:3" hidden="1" x14ac:dyDescent="0.25">
      <c r="A130" t="s">
        <v>767</v>
      </c>
      <c r="B130" s="2">
        <v>3</v>
      </c>
      <c r="C130" t="s">
        <v>724</v>
      </c>
    </row>
    <row r="131" spans="1:3" hidden="1" x14ac:dyDescent="0.25">
      <c r="A131" t="s">
        <v>784</v>
      </c>
      <c r="B131" s="2">
        <v>3</v>
      </c>
      <c r="C131" t="s">
        <v>731</v>
      </c>
    </row>
    <row r="132" spans="1:3" x14ac:dyDescent="0.25">
      <c r="A132" t="s">
        <v>785</v>
      </c>
      <c r="B132" s="2">
        <v>2.5</v>
      </c>
      <c r="C132" t="s">
        <v>653</v>
      </c>
    </row>
    <row r="133" spans="1:3" hidden="1" x14ac:dyDescent="0.25">
      <c r="A133" t="s">
        <v>786</v>
      </c>
      <c r="B133" s="2">
        <v>2</v>
      </c>
      <c r="C133" t="s">
        <v>731</v>
      </c>
    </row>
    <row r="134" spans="1:3" hidden="1" x14ac:dyDescent="0.25">
      <c r="A134" t="s">
        <v>723</v>
      </c>
      <c r="B134" s="2">
        <v>2</v>
      </c>
      <c r="C134" t="s">
        <v>787</v>
      </c>
    </row>
    <row r="135" spans="1:3" hidden="1" x14ac:dyDescent="0.25">
      <c r="A135" t="s">
        <v>788</v>
      </c>
      <c r="B135" s="2">
        <v>2</v>
      </c>
      <c r="C135" t="s">
        <v>731</v>
      </c>
    </row>
    <row r="136" spans="1:3" hidden="1" x14ac:dyDescent="0.25">
      <c r="A136" t="s">
        <v>789</v>
      </c>
      <c r="B136" s="2">
        <v>2</v>
      </c>
      <c r="C136" t="s">
        <v>780</v>
      </c>
    </row>
    <row r="137" spans="1:3" hidden="1" x14ac:dyDescent="0.25">
      <c r="A137" t="s">
        <v>790</v>
      </c>
      <c r="B137" s="2">
        <v>2</v>
      </c>
      <c r="C137" t="s">
        <v>731</v>
      </c>
    </row>
    <row r="138" spans="1:3" hidden="1" x14ac:dyDescent="0.25">
      <c r="A138" t="s">
        <v>791</v>
      </c>
      <c r="B138" s="2">
        <v>2</v>
      </c>
      <c r="C138" t="s">
        <v>792</v>
      </c>
    </row>
    <row r="139" spans="1:3" hidden="1" x14ac:dyDescent="0.25">
      <c r="A139" t="s">
        <v>793</v>
      </c>
      <c r="B139" s="2">
        <v>1</v>
      </c>
      <c r="C139" t="s">
        <v>792</v>
      </c>
    </row>
    <row r="140" spans="1:3" hidden="1" x14ac:dyDescent="0.25">
      <c r="A140" t="s">
        <v>794</v>
      </c>
      <c r="B140" s="2">
        <v>1</v>
      </c>
      <c r="C140" t="s">
        <v>731</v>
      </c>
    </row>
    <row r="141" spans="1:3" hidden="1" x14ac:dyDescent="0.25">
      <c r="A141" t="s">
        <v>741</v>
      </c>
      <c r="B141" s="2">
        <v>1</v>
      </c>
      <c r="C141" t="s">
        <v>774</v>
      </c>
    </row>
    <row r="142" spans="1:3" hidden="1" x14ac:dyDescent="0.25">
      <c r="A142" t="s">
        <v>782</v>
      </c>
      <c r="B142" s="2">
        <v>1</v>
      </c>
      <c r="C142" t="s">
        <v>729</v>
      </c>
    </row>
  </sheetData>
  <autoFilter ref="A1:C142" xr:uid="{145B69FF-EB1B-4C01-9FFF-699C44701CEF}">
    <filterColumn colId="2">
      <filters>
        <filter val="m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9CBB7-549A-4D03-BEAC-D89B9E44A09C}">
  <dimension ref="A1:G108"/>
  <sheetViews>
    <sheetView workbookViewId="0"/>
  </sheetViews>
  <sheetFormatPr defaultRowHeight="15" x14ac:dyDescent="0.25"/>
  <cols>
    <col min="1" max="1" width="40.42578125" bestFit="1" customWidth="1"/>
    <col min="2" max="2" width="13.7109375" bestFit="1" customWidth="1"/>
    <col min="3" max="3" width="8.140625" bestFit="1" customWidth="1"/>
    <col min="4" max="4" width="20.5703125" bestFit="1" customWidth="1"/>
  </cols>
  <sheetData>
    <row r="1" spans="1:7" ht="18.75" x14ac:dyDescent="0.3">
      <c r="A1" s="4" t="s">
        <v>796</v>
      </c>
    </row>
    <row r="3" spans="1:7" ht="15.75" x14ac:dyDescent="0.25">
      <c r="A3" s="5" t="s">
        <v>797</v>
      </c>
    </row>
    <row r="4" spans="1:7" x14ac:dyDescent="0.25">
      <c r="A4" s="1" t="s">
        <v>798</v>
      </c>
      <c r="B4" s="1" t="s">
        <v>799</v>
      </c>
      <c r="C4" s="1" t="s">
        <v>800</v>
      </c>
      <c r="D4" s="1" t="s">
        <v>801</v>
      </c>
    </row>
    <row r="5" spans="1:7" x14ac:dyDescent="0.25">
      <c r="A5" t="s">
        <v>802</v>
      </c>
      <c r="B5" s="7">
        <v>57497.5</v>
      </c>
      <c r="C5" s="9">
        <f>B5/1000</f>
        <v>57.497500000000002</v>
      </c>
      <c r="D5" s="9">
        <f>B5/700</f>
        <v>82.13928571428572</v>
      </c>
    </row>
    <row r="6" spans="1:7" x14ac:dyDescent="0.25">
      <c r="A6" t="s">
        <v>803</v>
      </c>
      <c r="B6" s="7">
        <v>21048</v>
      </c>
      <c r="C6" s="9">
        <f>B6/1000</f>
        <v>21.047999999999998</v>
      </c>
      <c r="D6" s="9">
        <f>B6/700</f>
        <v>30.068571428571428</v>
      </c>
    </row>
    <row r="7" spans="1:7" x14ac:dyDescent="0.25">
      <c r="A7" t="s">
        <v>804</v>
      </c>
      <c r="B7" s="7">
        <v>17360</v>
      </c>
      <c r="C7" s="9">
        <f>B7/1000</f>
        <v>17.36</v>
      </c>
      <c r="D7" s="9">
        <f>B7/700</f>
        <v>24.8</v>
      </c>
    </row>
    <row r="8" spans="1:7" x14ac:dyDescent="0.25">
      <c r="A8" t="s">
        <v>805</v>
      </c>
      <c r="B8" s="7">
        <v>0</v>
      </c>
      <c r="C8" s="9">
        <f>B8/1000</f>
        <v>0</v>
      </c>
      <c r="D8" s="9">
        <f>B8/700</f>
        <v>0</v>
      </c>
    </row>
    <row r="9" spans="1:7" x14ac:dyDescent="0.25">
      <c r="A9" s="6" t="s">
        <v>806</v>
      </c>
      <c r="B9" s="8">
        <f>SUM(B5:B8)</f>
        <v>95905.5</v>
      </c>
      <c r="C9" s="10">
        <f>B9/1000</f>
        <v>95.905500000000004</v>
      </c>
      <c r="D9" s="10">
        <f>B9/700</f>
        <v>137.00785714285715</v>
      </c>
    </row>
    <row r="11" spans="1:7" ht="15.75" x14ac:dyDescent="0.25">
      <c r="A11" s="5" t="s">
        <v>802</v>
      </c>
      <c r="G11" s="28" t="s">
        <v>1097</v>
      </c>
    </row>
    <row r="12" spans="1:7" x14ac:dyDescent="0.25">
      <c r="A12" s="11" t="s">
        <v>649</v>
      </c>
      <c r="B12" s="11" t="s">
        <v>807</v>
      </c>
      <c r="C12" s="11" t="s">
        <v>651</v>
      </c>
      <c r="E12" s="26" t="s">
        <v>1096</v>
      </c>
    </row>
    <row r="13" spans="1:7" x14ac:dyDescent="0.25">
      <c r="A13" t="s">
        <v>655</v>
      </c>
      <c r="B13" s="2">
        <v>22740</v>
      </c>
      <c r="C13" t="s">
        <v>653</v>
      </c>
      <c r="E13" s="27">
        <v>0.4</v>
      </c>
    </row>
    <row r="14" spans="1:7" x14ac:dyDescent="0.25">
      <c r="A14" t="s">
        <v>657</v>
      </c>
      <c r="B14" s="2">
        <v>10950</v>
      </c>
      <c r="C14" t="s">
        <v>653</v>
      </c>
      <c r="E14" s="27">
        <v>0.4</v>
      </c>
    </row>
    <row r="15" spans="1:7" x14ac:dyDescent="0.25">
      <c r="A15" t="s">
        <v>663</v>
      </c>
      <c r="B15" s="2">
        <v>4395</v>
      </c>
      <c r="C15" t="s">
        <v>653</v>
      </c>
      <c r="E15" s="27">
        <v>0.4</v>
      </c>
    </row>
    <row r="16" spans="1:7" x14ac:dyDescent="0.25">
      <c r="A16" t="s">
        <v>666</v>
      </c>
      <c r="B16" s="2">
        <v>3660</v>
      </c>
      <c r="C16" t="s">
        <v>653</v>
      </c>
      <c r="E16" s="27">
        <v>0.4</v>
      </c>
    </row>
    <row r="17" spans="1:5" x14ac:dyDescent="0.25">
      <c r="A17" t="s">
        <v>667</v>
      </c>
      <c r="B17" s="2">
        <v>3200</v>
      </c>
      <c r="C17" t="s">
        <v>653</v>
      </c>
      <c r="E17" s="27">
        <v>0.4</v>
      </c>
    </row>
    <row r="18" spans="1:5" x14ac:dyDescent="0.25">
      <c r="A18" t="s">
        <v>669</v>
      </c>
      <c r="B18" s="2">
        <v>2765</v>
      </c>
      <c r="C18" t="s">
        <v>653</v>
      </c>
      <c r="E18" s="27">
        <v>0.4</v>
      </c>
    </row>
    <row r="19" spans="1:5" x14ac:dyDescent="0.25">
      <c r="A19" t="s">
        <v>674</v>
      </c>
      <c r="B19" s="2">
        <v>1895</v>
      </c>
      <c r="C19" t="s">
        <v>653</v>
      </c>
      <c r="E19" s="27">
        <v>0.4</v>
      </c>
    </row>
    <row r="20" spans="1:5" x14ac:dyDescent="0.25">
      <c r="A20" t="s">
        <v>677</v>
      </c>
      <c r="B20" s="2">
        <v>1215</v>
      </c>
      <c r="C20" t="s">
        <v>653</v>
      </c>
      <c r="E20" s="27">
        <v>0.4</v>
      </c>
    </row>
    <row r="21" spans="1:5" x14ac:dyDescent="0.25">
      <c r="A21" t="s">
        <v>679</v>
      </c>
      <c r="B21" s="2">
        <v>1010</v>
      </c>
      <c r="C21" t="s">
        <v>653</v>
      </c>
      <c r="E21" s="27">
        <v>0.4</v>
      </c>
    </row>
    <row r="22" spans="1:5" x14ac:dyDescent="0.25">
      <c r="A22" t="s">
        <v>681</v>
      </c>
      <c r="B22" s="2">
        <v>840</v>
      </c>
      <c r="C22" t="s">
        <v>653</v>
      </c>
      <c r="E22" s="27">
        <v>0.4</v>
      </c>
    </row>
    <row r="23" spans="1:5" x14ac:dyDescent="0.25">
      <c r="A23" t="s">
        <v>682</v>
      </c>
      <c r="B23" s="2">
        <v>780</v>
      </c>
      <c r="C23" t="s">
        <v>653</v>
      </c>
      <c r="E23" s="27">
        <v>0.4</v>
      </c>
    </row>
    <row r="24" spans="1:5" x14ac:dyDescent="0.25">
      <c r="A24" t="s">
        <v>684</v>
      </c>
      <c r="B24" s="2">
        <v>730</v>
      </c>
      <c r="C24" t="s">
        <v>653</v>
      </c>
      <c r="E24" s="27">
        <v>0.4</v>
      </c>
    </row>
    <row r="25" spans="1:5" x14ac:dyDescent="0.25">
      <c r="A25" t="s">
        <v>693</v>
      </c>
      <c r="B25" s="2">
        <v>495</v>
      </c>
      <c r="C25" t="s">
        <v>653</v>
      </c>
      <c r="E25" s="27">
        <v>0.4</v>
      </c>
    </row>
    <row r="26" spans="1:5" x14ac:dyDescent="0.25">
      <c r="A26" t="s">
        <v>695</v>
      </c>
      <c r="B26" s="2">
        <v>450</v>
      </c>
      <c r="C26" t="s">
        <v>653</v>
      </c>
      <c r="E26" s="27">
        <v>0.4</v>
      </c>
    </row>
    <row r="27" spans="1:5" x14ac:dyDescent="0.25">
      <c r="A27" t="s">
        <v>698</v>
      </c>
      <c r="B27" s="2">
        <v>345</v>
      </c>
      <c r="C27" t="s">
        <v>653</v>
      </c>
      <c r="E27" s="27">
        <v>0.4</v>
      </c>
    </row>
    <row r="28" spans="1:5" x14ac:dyDescent="0.25">
      <c r="A28" t="s">
        <v>703</v>
      </c>
      <c r="B28" s="2">
        <v>285</v>
      </c>
      <c r="C28" t="s">
        <v>653</v>
      </c>
      <c r="E28" s="27">
        <v>0.4</v>
      </c>
    </row>
    <row r="29" spans="1:5" x14ac:dyDescent="0.25">
      <c r="A29" t="s">
        <v>704</v>
      </c>
      <c r="B29" s="2">
        <v>265</v>
      </c>
      <c r="C29" t="s">
        <v>653</v>
      </c>
      <c r="E29" s="27">
        <v>0.4</v>
      </c>
    </row>
    <row r="30" spans="1:5" x14ac:dyDescent="0.25">
      <c r="A30" t="s">
        <v>708</v>
      </c>
      <c r="B30" s="2">
        <v>240</v>
      </c>
      <c r="C30" t="s">
        <v>653</v>
      </c>
      <c r="E30" s="27">
        <v>0.4</v>
      </c>
    </row>
    <row r="31" spans="1:5" x14ac:dyDescent="0.25">
      <c r="A31" t="s">
        <v>712</v>
      </c>
      <c r="B31" s="2">
        <v>210</v>
      </c>
      <c r="C31" t="s">
        <v>653</v>
      </c>
      <c r="E31" s="27">
        <v>0.4</v>
      </c>
    </row>
    <row r="32" spans="1:5" x14ac:dyDescent="0.25">
      <c r="A32" t="s">
        <v>715</v>
      </c>
      <c r="B32" s="2">
        <v>180</v>
      </c>
      <c r="C32" t="s">
        <v>653</v>
      </c>
      <c r="E32" s="27">
        <v>0.4</v>
      </c>
    </row>
    <row r="33" spans="1:5" x14ac:dyDescent="0.25">
      <c r="A33" t="s">
        <v>716</v>
      </c>
      <c r="B33" s="2">
        <v>180</v>
      </c>
      <c r="C33" t="s">
        <v>653</v>
      </c>
      <c r="E33" s="27">
        <v>0.4</v>
      </c>
    </row>
    <row r="34" spans="1:5" x14ac:dyDescent="0.25">
      <c r="A34" t="s">
        <v>717</v>
      </c>
      <c r="B34" s="2">
        <v>180</v>
      </c>
      <c r="C34" t="s">
        <v>653</v>
      </c>
      <c r="E34" s="27">
        <v>0.4</v>
      </c>
    </row>
    <row r="35" spans="1:5" x14ac:dyDescent="0.25">
      <c r="A35" t="s">
        <v>734</v>
      </c>
      <c r="B35" s="2">
        <v>120</v>
      </c>
      <c r="C35" t="s">
        <v>653</v>
      </c>
      <c r="E35" s="27">
        <v>0.4</v>
      </c>
    </row>
    <row r="36" spans="1:5" x14ac:dyDescent="0.25">
      <c r="A36" t="s">
        <v>737</v>
      </c>
      <c r="B36" s="2">
        <v>120</v>
      </c>
      <c r="C36" t="s">
        <v>653</v>
      </c>
      <c r="E36" s="27">
        <v>0.4</v>
      </c>
    </row>
    <row r="37" spans="1:5" x14ac:dyDescent="0.25">
      <c r="A37" t="s">
        <v>748</v>
      </c>
      <c r="B37" s="2">
        <v>60</v>
      </c>
      <c r="C37" t="s">
        <v>653</v>
      </c>
      <c r="E37" s="27">
        <v>0.4</v>
      </c>
    </row>
    <row r="38" spans="1:5" x14ac:dyDescent="0.25">
      <c r="A38" t="s">
        <v>749</v>
      </c>
      <c r="B38" s="2">
        <v>60</v>
      </c>
      <c r="C38" t="s">
        <v>653</v>
      </c>
      <c r="E38" s="27">
        <v>0.4</v>
      </c>
    </row>
    <row r="39" spans="1:5" x14ac:dyDescent="0.25">
      <c r="A39" t="s">
        <v>750</v>
      </c>
      <c r="B39" s="2">
        <v>60</v>
      </c>
      <c r="C39" t="s">
        <v>653</v>
      </c>
      <c r="E39" s="27">
        <v>0.4</v>
      </c>
    </row>
    <row r="40" spans="1:5" x14ac:dyDescent="0.25">
      <c r="A40" t="s">
        <v>758</v>
      </c>
      <c r="B40" s="2">
        <v>32.5</v>
      </c>
      <c r="C40" t="s">
        <v>653</v>
      </c>
      <c r="E40" s="27">
        <v>0.68</v>
      </c>
    </row>
    <row r="41" spans="1:5" x14ac:dyDescent="0.25">
      <c r="A41" t="s">
        <v>769</v>
      </c>
      <c r="B41" s="2">
        <v>20</v>
      </c>
      <c r="C41" t="s">
        <v>653</v>
      </c>
      <c r="E41" s="27">
        <v>0.45</v>
      </c>
    </row>
    <row r="42" spans="1:5" x14ac:dyDescent="0.25">
      <c r="A42" t="s">
        <v>773</v>
      </c>
      <c r="B42" s="2">
        <v>15</v>
      </c>
      <c r="C42" t="s">
        <v>653</v>
      </c>
      <c r="E42" s="27">
        <v>0.4</v>
      </c>
    </row>
    <row r="43" spans="1:5" x14ac:dyDescent="0.25">
      <c r="A43" t="s">
        <v>758</v>
      </c>
      <c r="B43" s="2">
        <v>16</v>
      </c>
      <c r="C43" t="s">
        <v>724</v>
      </c>
      <c r="E43" s="27">
        <v>0.68</v>
      </c>
    </row>
    <row r="45" spans="1:5" ht="15.75" x14ac:dyDescent="0.25">
      <c r="A45" s="5" t="s">
        <v>803</v>
      </c>
    </row>
    <row r="46" spans="1:5" x14ac:dyDescent="0.25">
      <c r="A46" s="11" t="s">
        <v>649</v>
      </c>
      <c r="B46" s="11" t="s">
        <v>807</v>
      </c>
      <c r="C46" s="11" t="s">
        <v>651</v>
      </c>
      <c r="E46" s="26" t="s">
        <v>1096</v>
      </c>
    </row>
    <row r="47" spans="1:5" x14ac:dyDescent="0.25">
      <c r="A47" t="s">
        <v>664</v>
      </c>
      <c r="B47" s="2">
        <v>4110</v>
      </c>
      <c r="C47" t="s">
        <v>653</v>
      </c>
      <c r="E47" s="27">
        <v>0.3</v>
      </c>
    </row>
    <row r="48" spans="1:5" x14ac:dyDescent="0.25">
      <c r="A48" t="s">
        <v>665</v>
      </c>
      <c r="B48" s="2">
        <v>4080</v>
      </c>
      <c r="C48" t="s">
        <v>653</v>
      </c>
      <c r="E48" s="27">
        <v>0.11</v>
      </c>
    </row>
    <row r="49" spans="1:5" x14ac:dyDescent="0.25">
      <c r="A49" t="s">
        <v>668</v>
      </c>
      <c r="B49" s="2">
        <v>3165</v>
      </c>
      <c r="C49" t="s">
        <v>653</v>
      </c>
      <c r="E49" s="27">
        <v>0.25</v>
      </c>
    </row>
    <row r="50" spans="1:5" x14ac:dyDescent="0.25">
      <c r="A50" t="s">
        <v>671</v>
      </c>
      <c r="B50" s="2">
        <v>2185</v>
      </c>
      <c r="C50" t="s">
        <v>653</v>
      </c>
      <c r="E50" s="27">
        <v>0.3</v>
      </c>
    </row>
    <row r="51" spans="1:5" x14ac:dyDescent="0.25">
      <c r="A51" t="s">
        <v>673</v>
      </c>
      <c r="B51" s="2">
        <v>1925</v>
      </c>
      <c r="C51" t="s">
        <v>653</v>
      </c>
      <c r="E51" s="27">
        <v>0.25</v>
      </c>
    </row>
    <row r="52" spans="1:5" x14ac:dyDescent="0.25">
      <c r="A52" t="s">
        <v>688</v>
      </c>
      <c r="B52" s="2">
        <v>540</v>
      </c>
      <c r="C52" t="s">
        <v>653</v>
      </c>
      <c r="E52" s="27">
        <v>0.2</v>
      </c>
    </row>
    <row r="53" spans="1:5" x14ac:dyDescent="0.25">
      <c r="A53" t="s">
        <v>690</v>
      </c>
      <c r="B53" s="2">
        <v>525</v>
      </c>
      <c r="C53" t="s">
        <v>653</v>
      </c>
      <c r="E53" s="27">
        <v>0.2</v>
      </c>
    </row>
    <row r="54" spans="1:5" x14ac:dyDescent="0.25">
      <c r="A54" t="s">
        <v>691</v>
      </c>
      <c r="B54" s="2">
        <v>524</v>
      </c>
      <c r="C54" t="s">
        <v>653</v>
      </c>
      <c r="E54" s="27">
        <v>0.32</v>
      </c>
    </row>
    <row r="55" spans="1:5" x14ac:dyDescent="0.25">
      <c r="A55" t="s">
        <v>692</v>
      </c>
      <c r="B55" s="2">
        <v>495</v>
      </c>
      <c r="C55" t="s">
        <v>653</v>
      </c>
      <c r="E55" s="27">
        <v>0.28000000000000003</v>
      </c>
    </row>
    <row r="56" spans="1:5" x14ac:dyDescent="0.25">
      <c r="A56" t="s">
        <v>694</v>
      </c>
      <c r="B56" s="2">
        <v>490</v>
      </c>
      <c r="C56" t="s">
        <v>653</v>
      </c>
      <c r="E56" s="27">
        <v>0.4</v>
      </c>
    </row>
    <row r="57" spans="1:5" x14ac:dyDescent="0.25">
      <c r="A57" t="s">
        <v>696</v>
      </c>
      <c r="B57" s="2">
        <v>450</v>
      </c>
      <c r="C57" t="s">
        <v>653</v>
      </c>
      <c r="E57" s="27">
        <v>0.2</v>
      </c>
    </row>
    <row r="58" spans="1:5" x14ac:dyDescent="0.25">
      <c r="A58" t="s">
        <v>699</v>
      </c>
      <c r="B58" s="2">
        <v>330</v>
      </c>
      <c r="C58" t="s">
        <v>653</v>
      </c>
      <c r="E58" s="27">
        <v>0.2</v>
      </c>
    </row>
    <row r="59" spans="1:5" x14ac:dyDescent="0.25">
      <c r="A59" t="s">
        <v>707</v>
      </c>
      <c r="B59" s="2">
        <v>245</v>
      </c>
      <c r="C59" t="s">
        <v>653</v>
      </c>
      <c r="E59" s="27">
        <v>0.3</v>
      </c>
    </row>
    <row r="60" spans="1:5" x14ac:dyDescent="0.25">
      <c r="A60" t="s">
        <v>710</v>
      </c>
      <c r="B60" s="2">
        <v>240</v>
      </c>
      <c r="C60" t="s">
        <v>653</v>
      </c>
      <c r="E60" s="27">
        <v>0.15</v>
      </c>
    </row>
    <row r="61" spans="1:5" x14ac:dyDescent="0.25">
      <c r="A61" t="s">
        <v>711</v>
      </c>
      <c r="B61" s="2">
        <v>210</v>
      </c>
      <c r="C61" t="s">
        <v>653</v>
      </c>
      <c r="E61" s="27">
        <v>0.42299999999999999</v>
      </c>
    </row>
    <row r="62" spans="1:5" x14ac:dyDescent="0.25">
      <c r="A62" t="s">
        <v>713</v>
      </c>
      <c r="B62" s="2">
        <v>200</v>
      </c>
      <c r="C62" t="s">
        <v>653</v>
      </c>
      <c r="E62" s="27">
        <v>0</v>
      </c>
    </row>
    <row r="63" spans="1:5" x14ac:dyDescent="0.25">
      <c r="A63" t="s">
        <v>714</v>
      </c>
      <c r="B63" s="2">
        <v>194</v>
      </c>
      <c r="C63" t="s">
        <v>653</v>
      </c>
      <c r="E63" s="27">
        <v>0.55000000000000004</v>
      </c>
    </row>
    <row r="64" spans="1:5" x14ac:dyDescent="0.25">
      <c r="A64" t="s">
        <v>718</v>
      </c>
      <c r="B64" s="2">
        <v>180</v>
      </c>
      <c r="C64" t="s">
        <v>653</v>
      </c>
      <c r="E64" s="27">
        <v>0.25</v>
      </c>
    </row>
    <row r="65" spans="1:5" x14ac:dyDescent="0.25">
      <c r="A65" t="s">
        <v>720</v>
      </c>
      <c r="B65" s="2">
        <v>170</v>
      </c>
      <c r="C65" t="s">
        <v>653</v>
      </c>
      <c r="E65" s="27">
        <v>0.4</v>
      </c>
    </row>
    <row r="66" spans="1:5" x14ac:dyDescent="0.25">
      <c r="A66" t="s">
        <v>722</v>
      </c>
      <c r="B66" s="2">
        <v>155</v>
      </c>
      <c r="C66" t="s">
        <v>653</v>
      </c>
      <c r="E66" s="27">
        <v>0.4</v>
      </c>
    </row>
    <row r="67" spans="1:5" x14ac:dyDescent="0.25">
      <c r="A67" t="s">
        <v>736</v>
      </c>
      <c r="B67" s="2">
        <v>120</v>
      </c>
      <c r="C67" t="s">
        <v>653</v>
      </c>
      <c r="E67" s="27">
        <v>0.25</v>
      </c>
    </row>
    <row r="68" spans="1:5" x14ac:dyDescent="0.25">
      <c r="A68" t="s">
        <v>738</v>
      </c>
      <c r="B68" s="2">
        <v>105</v>
      </c>
      <c r="C68" t="s">
        <v>653</v>
      </c>
      <c r="E68" s="27">
        <v>0.2</v>
      </c>
    </row>
    <row r="69" spans="1:5" x14ac:dyDescent="0.25">
      <c r="A69" t="s">
        <v>743</v>
      </c>
      <c r="B69" s="2">
        <v>90</v>
      </c>
      <c r="C69" t="s">
        <v>653</v>
      </c>
      <c r="E69" s="27">
        <v>0.25</v>
      </c>
    </row>
    <row r="70" spans="1:5" x14ac:dyDescent="0.25">
      <c r="A70" t="s">
        <v>744</v>
      </c>
      <c r="B70" s="2">
        <v>90</v>
      </c>
      <c r="C70" t="s">
        <v>653</v>
      </c>
      <c r="E70" s="27">
        <v>0.35</v>
      </c>
    </row>
    <row r="71" spans="1:5" x14ac:dyDescent="0.25">
      <c r="A71" t="s">
        <v>746</v>
      </c>
      <c r="B71" s="2">
        <v>80</v>
      </c>
      <c r="C71" t="s">
        <v>653</v>
      </c>
      <c r="E71" s="27">
        <v>0.24</v>
      </c>
    </row>
    <row r="72" spans="1:5" x14ac:dyDescent="0.25">
      <c r="A72" t="s">
        <v>756</v>
      </c>
      <c r="B72" s="2">
        <v>40</v>
      </c>
      <c r="C72" t="s">
        <v>653</v>
      </c>
      <c r="E72" s="27">
        <v>0.4</v>
      </c>
    </row>
    <row r="73" spans="1:5" x14ac:dyDescent="0.25">
      <c r="A73" t="s">
        <v>760</v>
      </c>
      <c r="B73" s="2">
        <v>30</v>
      </c>
      <c r="C73" t="s">
        <v>653</v>
      </c>
      <c r="E73" s="27">
        <v>0.17</v>
      </c>
    </row>
    <row r="74" spans="1:5" x14ac:dyDescent="0.25">
      <c r="A74" t="s">
        <v>761</v>
      </c>
      <c r="B74" s="2">
        <v>30</v>
      </c>
      <c r="C74" t="s">
        <v>653</v>
      </c>
      <c r="E74" s="27">
        <v>0.25</v>
      </c>
    </row>
    <row r="75" spans="1:5" x14ac:dyDescent="0.25">
      <c r="A75" t="s">
        <v>768</v>
      </c>
      <c r="B75" s="2">
        <v>20</v>
      </c>
      <c r="C75" t="s">
        <v>653</v>
      </c>
      <c r="E75" s="27">
        <v>0.3</v>
      </c>
    </row>
    <row r="76" spans="1:5" x14ac:dyDescent="0.25">
      <c r="A76" t="s">
        <v>772</v>
      </c>
      <c r="B76" s="2">
        <v>15</v>
      </c>
      <c r="C76" t="s">
        <v>653</v>
      </c>
      <c r="E76" s="27">
        <v>0.4</v>
      </c>
    </row>
    <row r="77" spans="1:5" x14ac:dyDescent="0.25">
      <c r="A77" t="s">
        <v>775</v>
      </c>
      <c r="B77" s="2">
        <v>15</v>
      </c>
      <c r="C77" t="s">
        <v>653</v>
      </c>
      <c r="E77" s="27">
        <v>0.2</v>
      </c>
    </row>
    <row r="79" spans="1:5" ht="15.75" x14ac:dyDescent="0.25">
      <c r="A79" s="5" t="s">
        <v>804</v>
      </c>
    </row>
    <row r="80" spans="1:5" x14ac:dyDescent="0.25">
      <c r="A80" s="11" t="s">
        <v>649</v>
      </c>
      <c r="B80" s="11" t="s">
        <v>807</v>
      </c>
      <c r="C80" s="11" t="s">
        <v>651</v>
      </c>
      <c r="E80" s="26" t="s">
        <v>1096</v>
      </c>
    </row>
    <row r="81" spans="1:5" x14ac:dyDescent="0.25">
      <c r="A81" t="s">
        <v>656</v>
      </c>
      <c r="B81" s="2">
        <v>12510</v>
      </c>
      <c r="C81" t="s">
        <v>653</v>
      </c>
      <c r="E81" s="27">
        <v>0.12</v>
      </c>
    </row>
    <row r="82" spans="1:5" x14ac:dyDescent="0.25">
      <c r="A82" t="s">
        <v>670</v>
      </c>
      <c r="B82" s="2">
        <v>2265</v>
      </c>
      <c r="C82" t="s">
        <v>653</v>
      </c>
      <c r="E82" s="27">
        <v>0.16</v>
      </c>
    </row>
    <row r="83" spans="1:5" x14ac:dyDescent="0.25">
      <c r="A83" t="s">
        <v>676</v>
      </c>
      <c r="B83" s="2">
        <v>1300</v>
      </c>
      <c r="C83" t="s">
        <v>653</v>
      </c>
      <c r="E83" s="27">
        <v>0.17</v>
      </c>
    </row>
    <row r="84" spans="1:5" x14ac:dyDescent="0.25">
      <c r="A84" t="s">
        <v>680</v>
      </c>
      <c r="B84" s="2">
        <v>945</v>
      </c>
      <c r="C84" t="s">
        <v>653</v>
      </c>
      <c r="E84" s="27">
        <v>0.18</v>
      </c>
    </row>
    <row r="85" spans="1:5" x14ac:dyDescent="0.25">
      <c r="A85" t="s">
        <v>719</v>
      </c>
      <c r="B85" s="2">
        <v>175</v>
      </c>
      <c r="C85" t="s">
        <v>653</v>
      </c>
      <c r="E85" s="27">
        <v>0.15</v>
      </c>
    </row>
    <row r="86" spans="1:5" x14ac:dyDescent="0.25">
      <c r="A86" t="s">
        <v>735</v>
      </c>
      <c r="B86" s="2">
        <v>120</v>
      </c>
      <c r="C86" t="s">
        <v>653</v>
      </c>
      <c r="E86" s="27">
        <v>0.15</v>
      </c>
    </row>
    <row r="87" spans="1:5" x14ac:dyDescent="0.25">
      <c r="A87" t="s">
        <v>755</v>
      </c>
      <c r="B87" s="2">
        <v>45</v>
      </c>
      <c r="C87" t="s">
        <v>653</v>
      </c>
      <c r="E87" s="27">
        <v>0.17</v>
      </c>
    </row>
    <row r="89" spans="1:5" ht="15.75" x14ac:dyDescent="0.25">
      <c r="A89" s="5" t="s">
        <v>805</v>
      </c>
    </row>
    <row r="90" spans="1:5" x14ac:dyDescent="0.25">
      <c r="A90" s="11" t="s">
        <v>649</v>
      </c>
      <c r="B90" s="11" t="s">
        <v>807</v>
      </c>
      <c r="C90" s="11" t="s">
        <v>651</v>
      </c>
      <c r="E90" s="26" t="s">
        <v>1096</v>
      </c>
    </row>
    <row r="91" spans="1:5" x14ac:dyDescent="0.25">
      <c r="A91" t="s">
        <v>723</v>
      </c>
      <c r="B91" s="2">
        <v>150</v>
      </c>
      <c r="C91" t="s">
        <v>724</v>
      </c>
      <c r="E91" s="27">
        <v>0.44700000000000001</v>
      </c>
    </row>
    <row r="92" spans="1:5" x14ac:dyDescent="0.25">
      <c r="A92" t="s">
        <v>759</v>
      </c>
      <c r="B92" s="2">
        <v>30</v>
      </c>
      <c r="C92" t="s">
        <v>724</v>
      </c>
      <c r="E92" s="27">
        <v>0.35</v>
      </c>
    </row>
    <row r="93" spans="1:5" x14ac:dyDescent="0.25">
      <c r="A93" t="s">
        <v>770</v>
      </c>
      <c r="B93" s="2">
        <v>18</v>
      </c>
      <c r="C93" t="s">
        <v>724</v>
      </c>
      <c r="E93" s="27">
        <v>0.4</v>
      </c>
    </row>
    <row r="94" spans="1:5" x14ac:dyDescent="0.25">
      <c r="A94" t="s">
        <v>723</v>
      </c>
      <c r="B94" s="2">
        <v>4</v>
      </c>
      <c r="C94" t="s">
        <v>763</v>
      </c>
      <c r="E94" s="27">
        <v>0.44700000000000001</v>
      </c>
    </row>
    <row r="95" spans="1:5" x14ac:dyDescent="0.25">
      <c r="A95" t="s">
        <v>723</v>
      </c>
      <c r="B95" s="2">
        <v>2</v>
      </c>
      <c r="C95" t="s">
        <v>787</v>
      </c>
      <c r="E95" s="27">
        <v>0.44700000000000001</v>
      </c>
    </row>
    <row r="98" spans="1:5" x14ac:dyDescent="0.25">
      <c r="A98" s="29" t="s">
        <v>1098</v>
      </c>
    </row>
    <row r="99" spans="1:5" x14ac:dyDescent="0.25">
      <c r="A99" s="11" t="s">
        <v>649</v>
      </c>
      <c r="E99" s="11" t="s">
        <v>1096</v>
      </c>
    </row>
    <row r="100" spans="1:5" x14ac:dyDescent="0.25">
      <c r="A100" t="s">
        <v>1099</v>
      </c>
      <c r="E100" s="27">
        <v>0.28999999999999998</v>
      </c>
    </row>
    <row r="101" spans="1:5" x14ac:dyDescent="0.25">
      <c r="A101" t="s">
        <v>1100</v>
      </c>
      <c r="E101" s="27">
        <v>0.16500000000000001</v>
      </c>
    </row>
    <row r="102" spans="1:5" x14ac:dyDescent="0.25">
      <c r="A102" t="s">
        <v>1101</v>
      </c>
      <c r="E102" s="27">
        <v>0.2</v>
      </c>
    </row>
    <row r="103" spans="1:5" x14ac:dyDescent="0.25">
      <c r="A103" t="s">
        <v>1105</v>
      </c>
      <c r="E103" s="27">
        <v>0.3</v>
      </c>
    </row>
    <row r="104" spans="1:5" x14ac:dyDescent="0.25">
      <c r="A104" t="s">
        <v>1102</v>
      </c>
      <c r="E104" s="27">
        <v>0.14000000000000001</v>
      </c>
    </row>
    <row r="105" spans="1:5" x14ac:dyDescent="0.25">
      <c r="A105" t="s">
        <v>1103</v>
      </c>
      <c r="E105" s="27">
        <v>0.17499999999999999</v>
      </c>
    </row>
    <row r="106" spans="1:5" x14ac:dyDescent="0.25">
      <c r="A106" t="s">
        <v>1104</v>
      </c>
      <c r="E106" s="27">
        <v>0.2</v>
      </c>
    </row>
    <row r="107" spans="1:5" x14ac:dyDescent="0.25">
      <c r="A107" t="s">
        <v>654</v>
      </c>
      <c r="E107" s="27">
        <v>0</v>
      </c>
    </row>
    <row r="108" spans="1:5" x14ac:dyDescent="0.25">
      <c r="A108" t="s">
        <v>1110</v>
      </c>
      <c r="E108" s="27">
        <v>0.2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Cocktails</vt:lpstr>
      <vt:lpstr>Ingredient Usage</vt:lpstr>
      <vt:lpstr>Alcohol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Baudry, Gregoire</dc:creator>
  <cp:lastModifiedBy>Baudry, Gregoire</cp:lastModifiedBy>
  <dcterms:created xsi:type="dcterms:W3CDTF">2026-03-14T10:08:51Z</dcterms:created>
  <dcterms:modified xsi:type="dcterms:W3CDTF">2026-09-03T11:45:36Z</dcterms:modified>
</cp:coreProperties>
</file>